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Form Responses 1" sheetId="1" r:id="rId4"/>
    <sheet state="visible" name="Explicação" sheetId="2" r:id="rId5"/>
    <sheet state="visible" name="Escala" sheetId="3" r:id="rId6"/>
    <sheet state="visible" name="CG e OI" sheetId="4" r:id="rId7"/>
    <sheet state="visible" name="Academia" sheetId="5" r:id="rId8"/>
    <sheet state="visible" name="Escola" sheetId="6" r:id="rId9"/>
    <sheet state="visible" name="Fábrica" sheetId="7" r:id="rId10"/>
    <sheet state="hidden" name="Dashboard Evolutivo" sheetId="8" r:id="rId11"/>
    <sheet state="hidden" name="18.2" sheetId="9" r:id="rId12"/>
    <sheet state="hidden" name="19.1" sheetId="10" r:id="rId13"/>
    <sheet state="hidden" name="19.2" sheetId="11" r:id="rId14"/>
    <sheet state="hidden" name="20.1" sheetId="12" r:id="rId15"/>
    <sheet state="hidden" name="20.2" sheetId="13" r:id="rId16"/>
    <sheet state="hidden" name="21.1" sheetId="14" r:id="rId17"/>
    <sheet state="hidden" name="22.1" sheetId="15" r:id="rId18"/>
    <sheet state="hidden" name="22.2" sheetId="16" r:id="rId19"/>
    <sheet state="hidden" name="23.1" sheetId="17" r:id="rId20"/>
  </sheets>
  <definedNames>
    <definedName name="DISCREPÂNCIA">LAMBDA((abs(Academia!$P$4)+abs(Academia!$P$5)+abs(Academia!$P$6)+abs(Academia!$P$7)+abs(Academia!$P$8)+abs(Academia!$P$9)+abs(Academia!$P$10)+abs(Academia!$P$11)+abs(Academia!$P$12)+abs(Academia!$P$13)+abs(Academia!$P$14)+ abs(Academia!$P$15)+abs(Academia!$P$16)+abs(Academia!$P$18)+abs(Academia!$P$19)+abs(Academia!$P$20)+abs(Academia!$P$21)+abs(Academia!$P$22)+abs(Academia!$P$23)+abs(Academia!$P$24)+abs(Academia!$P$25)+abs(Academia!$P$26)+abs(Academia!$P$27)+abs(Academia!$P$28)+abs(Academia!$P$29)+abs(Academia!$P$30)+abs(Academia!$P$31)+abs(Academia!$P$32)+abs(Academia!$P$33)+abs(Academia!$P$34)+abs(Academia!$P$35)+abs(Academia!$P$36))/COUNTA(Academia!$P$4:$P$36))</definedName>
  </definedNames>
  <calcPr/>
</workbook>
</file>

<file path=xl/sharedStrings.xml><?xml version="1.0" encoding="utf-8"?>
<sst xmlns="http://schemas.openxmlformats.org/spreadsheetml/2006/main" count="1971" uniqueCount="639">
  <si>
    <t>Timestamp</t>
  </si>
  <si>
    <t>Pergunta sem título</t>
  </si>
  <si>
    <t>UFRJ Consulting Club</t>
  </si>
  <si>
    <r>
      <rPr>
        <rFont val="Hammersmith One"/>
        <b/>
        <color rgb="FF000000"/>
        <sz val="50.0"/>
      </rPr>
      <t>Avaliação 360</t>
    </r>
    <r>
      <rPr>
        <rFont val="Hammersmith One"/>
        <b/>
        <color rgb="FFFAD419"/>
        <sz val="50.0"/>
      </rPr>
      <t>.</t>
    </r>
  </si>
  <si>
    <t>Média</t>
  </si>
  <si>
    <t>Desvio Padrão</t>
  </si>
  <si>
    <t>Discrepância</t>
  </si>
  <si>
    <t>Pontos Fortes e 
Pontos a Desenvolver</t>
  </si>
  <si>
    <t>Lista os pontos mencionados, contabilizando o número de vezes que cada um foi comentado.
Ex.: Organização (7x)</t>
  </si>
  <si>
    <t>Reflete a opinião geral do grupo em relação ao desempenho do membro no indicador.</t>
  </si>
  <si>
    <t>Indica como a opinião dos membros variou na composição da média. Quanto maior o desvio padrão, menor o consenso.</t>
  </si>
  <si>
    <t xml:space="preserve">Disc = Média - Autoavaliação
A discrepância mostra quanto a opinião do membro a respeito de si mesmo se diferencia da opinião dos outros membros.  </t>
  </si>
  <si>
    <t>-1.5</t>
  </si>
  <si>
    <t>-0.8</t>
  </si>
  <si>
    <t>+0.8</t>
  </si>
  <si>
    <t>+1.5</t>
  </si>
  <si>
    <t>ESCALA</t>
  </si>
  <si>
    <t>Péssimo</t>
  </si>
  <si>
    <t>Ruim</t>
  </si>
  <si>
    <t>Ok</t>
  </si>
  <si>
    <t>Bom</t>
  </si>
  <si>
    <t>Ótimo</t>
  </si>
  <si>
    <t>Referência</t>
  </si>
  <si>
    <r>
      <rPr>
        <rFont val="Montserrat"/>
        <b/>
        <color rgb="FF000000"/>
        <sz val="12.0"/>
      </rPr>
      <t>OBS:</t>
    </r>
    <r>
      <rPr>
        <rFont val="Montserrat"/>
        <color rgb="FFFEEE00"/>
        <sz val="10.0"/>
      </rPr>
      <t xml:space="preserve"> </t>
    </r>
    <r>
      <rPr>
        <rFont val="Montserrat"/>
        <color rgb="FF000000"/>
        <sz val="10.0"/>
      </rPr>
      <t>as notas possíveis não se restringem somente aos números acima, portanto as notas 1, 3, 5 e 7 também podem ser utilizadas.</t>
    </r>
  </si>
  <si>
    <t xml:space="preserve"> </t>
  </si>
  <si>
    <t>Bruna Bacellar</t>
  </si>
  <si>
    <t>João Cândido</t>
  </si>
  <si>
    <t>Média por Valor</t>
  </si>
  <si>
    <t>Discrepâcia</t>
  </si>
  <si>
    <t>Obsessão pelo aprendizado</t>
  </si>
  <si>
    <t>Participou ativamente e usufruiu das atividades internas organizadas por qualquer uma das áreas do Consulting Club (capacitações internas…)</t>
  </si>
  <si>
    <t>Procurou se envolver em atividades (reuniões, feedbacks...) de outras demandas que não está formalmente alocado</t>
  </si>
  <si>
    <t>Buscou tirar proveito de atividades externas relacionadas ao escopo do Clube (desafios, capacitações, eventos…)</t>
  </si>
  <si>
    <t>Procurou aprender metodologias diversas para desenvolver atividades de suas próprias demandas</t>
  </si>
  <si>
    <t xml:space="preserve">Buscou trazer conhecimento externo (livros, artigos, podcasts…) para as demandas e para o Clube no geral
</t>
  </si>
  <si>
    <t>Excelência</t>
  </si>
  <si>
    <t>Buscou sempre elevar a barra em todas as entregas e versões de entregáveis</t>
  </si>
  <si>
    <t>Foi capaz de se organizar para cumprir os prazos definidos para as suas responsabilidades</t>
  </si>
  <si>
    <t>Buscou ativamente por feedbacks e maneiras de deixar as suas entregas e o seu desempenho melhores</t>
  </si>
  <si>
    <t>Correspondeu aos feedbacks construtivos, melhorando os pontos apontados tanto nas entregas como em outras esferas</t>
  </si>
  <si>
    <t>Soube diferenciar os momentos de descontração e aqueles nos quais é necessária uma postura profissional</t>
  </si>
  <si>
    <t>É alguém que, no geral, gera admiração e, a partir de suas ações, é um exemplo a ser seguido</t>
  </si>
  <si>
    <t>Protagonismo</t>
  </si>
  <si>
    <t>Motivou o grupo em prol do objetivo comum, fomentando o engajamento dos outros e a busca por resultados excelentes</t>
  </si>
  <si>
    <t>Se mostrou preocupado em buscar uma melhoria contínua do Clube, tendo iniciativa para desenvolver melhorias internas inovadoras</t>
  </si>
  <si>
    <t>Esteve continuamente questionando a forma atual de fazer as coisas e teve iniciativa para desenvolver melhorias inovadoras em demandas</t>
  </si>
  <si>
    <t>Foi proativo para tomar iniciativa de resolver problemas e tomar responsabilidades para si</t>
  </si>
  <si>
    <t>Comunicou-se com clareza e de maneira lógica, tanto oralmente quanto por escrita</t>
  </si>
  <si>
    <t>Foi participativo nas reuniões internas à suas demandas, de áreas e gerais de modo que agregasse valor nas discussões</t>
  </si>
  <si>
    <t>Amizade</t>
  </si>
  <si>
    <t>Mostrou abertura e buscou criar laços de amizade com outros membros</t>
  </si>
  <si>
    <t>Estimulou e/ou promoveu momentos de descontração fora das reuniões e da realização das demandas do Clube</t>
  </si>
  <si>
    <t>Buscou promover integrações e demonstrou abertura entre diferentes gerações</t>
  </si>
  <si>
    <t>Buscou deixar o ambiente de trabalho mais leve</t>
  </si>
  <si>
    <t>Transparência</t>
  </si>
  <si>
    <t>Apresentou senso crítico em relação às entregas, se preocupando com a qualidade delas e contribuindo com bons feedbacks (contendo planos de ação, onde isso ocorria…)</t>
  </si>
  <si>
    <t xml:space="preserve">Preocupou-se com o desenvolvimento dos membros, dando feedbacks completos tanto sobre sobre sua postura quanto suas entregas
</t>
  </si>
  <si>
    <t>Teve a humildade de assumir a culpa e reconhecer os erros/problemas e quando outras alternativas são mais pertinentes</t>
  </si>
  <si>
    <t>Buscou dar feedback fora dos ambientes formais (Avaliação Contínua e Termômetro) para os membros com os quais trabalhou</t>
  </si>
  <si>
    <t>Soube valorizar bons resultados e comportamentos dos outros membros</t>
  </si>
  <si>
    <t>Responsabilidade Coletiva</t>
  </si>
  <si>
    <t>Foi além das suas obrigações, sendo interessado e prestativo com membros e demandas nas quais não se está alocado</t>
  </si>
  <si>
    <t>Foi além das suas obrigações, sendo interessado e prestativo com membros das suas próprias demandas</t>
  </si>
  <si>
    <t>Soube fazer uma boa gestão de outros membros em situações mais desafiadores e de problemas de desempenho</t>
  </si>
  <si>
    <t>Preocupou-se com o emocional e o bem-estar dos companheiros de trabalho</t>
  </si>
  <si>
    <t>Zelou pelo bem do Clube como um todo, sentindo-se responsável por tudo que acontece</t>
  </si>
  <si>
    <t xml:space="preserve">Foi respeitoso e educado no tratamento com outros membros, mesmo em situações de divergência
</t>
  </si>
  <si>
    <t>Teve inteligência emocional em situações difíceis, como de pressão e de estresse</t>
  </si>
  <si>
    <t>Média Geral</t>
  </si>
  <si>
    <t>Discrepância Absoluta Média</t>
  </si>
  <si>
    <t>PONTOS FORTES</t>
  </si>
  <si>
    <t xml:space="preserve">Amizade (2x)
Comunicação (7x)
Excelência (2x)
Gestão de Pessoas
Liderança (5x)
OPA
Organização
Oratória
Parcerias Externas
Pensamento Estratégico (2x)
Pertencimento de Clube
Postura (3x)
Prazos
Preocupação com o Clube
Prospecções
Protagonismo (2x)
Raciocínio Lógico
Referência
Resolução de Problemas
Responsabilidade Coletiva (3x)
Responsável
Rigidez
Sabe contornar momentos de dúvida
Senso Crítico (5x)
Sentimento de Dono (3x)
Seriedade
</t>
  </si>
  <si>
    <t xml:space="preserve">Amizade
Comprometimento
Comunicação (7x)
Cuidado com o Clube
Engajamento
Excelência (3x)
Feedbacks
Gestão de Pessoas
Mentalidade de Fundador
OPA (3x)
Organização (4x)
Oratória
Participação
Pensamento Estratégico
Planejamento (4x)
Postura (2x)
Preocupação com o Clube
Protagonismo (5x)
Responsabilidade Coletiva (3x)
Senso Crítico (3x)
Senso de Urgência
Sentimento de Dono (2x)
Seriedade
Transparência
</t>
  </si>
  <si>
    <t>PONTOS A DESENVOLVER</t>
  </si>
  <si>
    <t xml:space="preserve">Amizade
Coletividade
Comunicação (5x)
Constância
Contato com Membros (2x)
Engajamento (4x)
Excelência
Feedbacks (2x)
Gestão
Gestão de Grupo
Liderança
OPA
Objetividade na Fala
Organização (7x)
Participação (3x)
Planejamento
Politicagem
Presença em outras demandas
Priorização
Protagonismo
Relacionamento com Membros
Responsabilidade
Responsabilidade Coletiva (3x)
Senso de Urgência
Tom e Tato
Transparência (3x)
Vontade de fazer diferente
Whatsapp
</t>
  </si>
  <si>
    <t xml:space="preserve">Abertura com feedbacks
Abertura para amizades
Abertura com os membros (2x)
Adaptabilidade
Amizade (3x)
Busca por feedbacks
Comunicação (3x)
Comunicação online
Consistência
Contato com outras demandas
Engajamento
Engajamento com membros
Espírito de Equipe
Excelência
Gestão de Grupo
Gestão de Membros
Humildade
Inteligência Emocional
OPA
Organização
Participação
Participação em reuniões
Pontualidade
Receptividade
Responsabilidade Coletiva
Separar pessoal e profissional
Tom e Tato (2x)
Transparência (4x)
</t>
  </si>
  <si>
    <t>Destaque</t>
  </si>
  <si>
    <t>Laura Guerra (3x), Arthur Prates, Larissa Dan</t>
  </si>
  <si>
    <t>Academia</t>
  </si>
  <si>
    <t>Adriana Motta</t>
  </si>
  <si>
    <t>Arthur Prates</t>
  </si>
  <si>
    <t>Larissa Dan</t>
  </si>
  <si>
    <t>Laura Guerra</t>
  </si>
  <si>
    <t xml:space="preserve">Amizade (4x)
Comunicação (5x)
Engajamento com o clube
Excelência
Inovação
Mentalidade de Dono
Motivação de clube
OPA
Postura
Responsabilidade Coletiva
Sair da zona de conforto
Senso Crítico
Sentimento de Dono
Visão Estratégica
</t>
  </si>
  <si>
    <t xml:space="preserve">Amizade (2x)
Comunicação
Compreensão
Dedicação (2x)
Engajamento (3x)
Excelência (4x)
Feedbacks
Liderança
Motivação (2x)
Obsessão pelo Aprendizado
OPA (3x)
Organização (2x)
Participação
Presença
Proatividade
Protagonismo (3x)
Resolução de Conflitos
Responsabilidade Coletiva (2x)
Senso de Pertencimento
Sentimento de Dono
</t>
  </si>
  <si>
    <t xml:space="preserve">Adaptabilidade
Amizade (3x)
Comunicação (3x)
Empatia
Engajamento
Esforçada
Excelência
Exaustividade
Gestão de Grupo
OPA (2x)
Organização
Oratória
Planejamento
Prestativa
Responsabilidade Coletiva
Senso de Coletivo
Senso Estético
Solicitude
Trazer novos métodos
Transparência
</t>
  </si>
  <si>
    <t xml:space="preserve">Alinhamento com a cultura
Amizade (3x)
Comunicação (3x)
Dedicação (2x)
Empatia (2x)
Excelência
Feedbacks
Gestão
Gestão de Pessoas
Leveza
Liderança (3x)
Organização (2x)
Protagonismo (2x)
Responsabilidade Coletiva (2x)
Senso de Pertencimento
Senso Estético
Trabalho em Equipe
Transparência (2x)
</t>
  </si>
  <si>
    <t xml:space="preserve">Constância
Empatia
Excelência
Gestão
Gestão de Membros
Inteligência Emocional
Liderança (2x)
Organização (3x)
Participação em outras demandas
Planejamento
Postura
Priorização de tarefas
Responsabilidade Coletiva
Senso de Urgência
Tom e Tato
Transparência (2x)
</t>
  </si>
  <si>
    <t xml:space="preserve">Consistência
Engajamento fora das demandas
Excelência
Feedbacks
Fontes externas
Gestão de Tempo
Liderança
OPA
Organização (5x)
Planejamento (2x)
Planejamento Estratégico
Politicagem
Postura (2x)
Pragmatismo
Protagonismo (2x)
Senso Crítico (3x)
Senso de Inovação
Transparência
</t>
  </si>
  <si>
    <t xml:space="preserve">Comunicação
Dedicação
Engajamento com as demandas
Excelência
Feedbacks (2x)
Gestão de Tempo
Liderança
Motivação
Obsessão pelo Aprendizado
Organização (3x)
Participação em reuniões
Pontualidade
Priorização
Proatividade
Protagonismo
Responsabilidade
Responsabilidade Coletiva
Sair da zona de conforto
Senso Crítico
Sentimento de Dono
</t>
  </si>
  <si>
    <t xml:space="preserve">Equilíbrio de engajamento
Feedbacks (2x)
Gestão de Tempo (2x)
Inovações
OPA (2x)
Organização (2x)
Participação em demandas
Participação em reuniões (2x)
Planejamento
Planejamento Estratégico
Responsabilidade Coletiva
Sair da zona de conforto
Senso Crítico (3x)
</t>
  </si>
  <si>
    <t xml:space="preserve"> Olívia Ban (3x), João Lavall (2x), Bernardo Prataviera (2x), Carolina Matta </t>
  </si>
  <si>
    <t>Escola</t>
  </si>
  <si>
    <t>Vinícius Meira</t>
  </si>
  <si>
    <t>Beatriz Vieira</t>
  </si>
  <si>
    <t>Bernardo Prataviera</t>
  </si>
  <si>
    <t>Carolina Matta</t>
  </si>
  <si>
    <t>João Lavall</t>
  </si>
  <si>
    <t>Luiz Filipi</t>
  </si>
  <si>
    <t>Olívia Ban</t>
  </si>
  <si>
    <t>Rafael Castelo</t>
  </si>
  <si>
    <t>Pedro Coelho</t>
  </si>
  <si>
    <t>Rodrigo Henrique</t>
  </si>
  <si>
    <t xml:space="preserve">Amizade
Comunicação
Engajamento
Excelência (3x)
Feedbacks
Hard Skills
Liderança (4x)
Obsessão pelo Aprendizado
OPA (3x)
Organização
Postura
Protagonismo (2x)
Responsabilidade Coletiva (3x)
Visão Estratégica
</t>
  </si>
  <si>
    <t xml:space="preserve">Argumentação
Comunicação (8x)
Conciliar trabalho com clube
Criatividade (2x)
Desenvoltura (2x)
Engajamento
Esforço
Excelência
Liderança
Motivação
Obsessão pelo Aprendizado
Organização (3x)
Proativa
Protagonismo (2x)
Qualidade
Rápida evolução
Responsabilidade Coletiva
Senso Crítico
Seriedade
Tom e Tato (2x)
Trabalho em Equipe (2x)
Transparência
Vontade de aprender
</t>
  </si>
  <si>
    <t xml:space="preserve">Amizade (2x)
Análises profundas
Constante evolução
Dedicação
Empenho
Engajamento
Excelência (9x)
Feedbacks
Hard Skills
Motivação
Obsessão pelo Aprendizado
OPA (2x)
Organização (2x)
Participação na demanda
Postura
Proativo
Protagonismo (4x)
Qualidade das entregas
Senso Crítico (2x)
Trabalho em Equipe (2x)
Transparência
</t>
  </si>
  <si>
    <t xml:space="preserve">Amizade (4x)
Brilho nos olhos
Comunicação
Consistência (2x)
Dedicação
Desenvolvimento em hard skills
Disposta a ajudar
Engajamento
Excelência (2x)
Exaustividade
Liderança
Motivação
Obsessão pelo Aprendizado (2x)
OPA (4x)
Pensamento Estratégico
Protagonismo
Responsabilidade Coletiva (4x)
Senso Crítico
Senso de Pertencimento
Sentimento de Dono (2x)
Solicitude
Trabalho em Equipe
</t>
  </si>
  <si>
    <t xml:space="preserve">Ambição
Amizade (2x)
Comprometimento
Comunicação (5x)
Dedicação
Determinação
Engajamento
Espírito de Equipe
Espírito de Fundador
Excelência (4x)
Exaustividade
Feedbacks
Gestão de membros
Inovação (4x)
Liderança (3x)
Obstinação
OPA (4x)
Participação
Pensamento Estratégico
Põe energia em tudo que faz
Proatividade (2x)
Protagonismo (8x)
Senso Crítico
</t>
  </si>
  <si>
    <t xml:space="preserve">Amizade (5x)
Comunicação (4x)
Empatia
Engajamento
Excelência (2x)
Gestão
Gestão de Membros (2x)
Humildade
Liderança (3x)
OPA
Organização
Participação
Postura
Proatividade (2x)
Responsabilidade Coletiva (4x)
Senso Crítico
Senso de Pertencimento
Sentimento de Dono (2x)
Solicitude
</t>
  </si>
  <si>
    <t xml:space="preserve">Comunicação
Disciplina
Excelência (6x)
Exaustividade (2x)
Feedbacks
Gestão
Inteligência Emocional
Liderança
Obsessão pelo Aprendizado
OPA (2x)
Organização
Participação
Responsabilidade Coletiva (3x)
Senso Crítico (2x)
Sentimento de Dono
Trabalho em Equipe
Transparência
Visão Estratégica
</t>
  </si>
  <si>
    <t xml:space="preserve">Amizade (6x)
Autocrítica (2x)
Bom analista
Dedicação
Excelência (2x)
Motivação (4x)
OPA
Organização
Participação
Preocupação com as pessoas
Presença em eventos
Protagonismo
Receptividade a feedbacks (2x)
Responsabilidade Coletiva (2x)
Transparência (2x)
Visão Crítica
</t>
  </si>
  <si>
    <t xml:space="preserve">Amizade (x6)
Autocrítica
Senso crítico (x2)
Comunicação (x4)
Postura
Excelência (x5)
Transparência
Carisma
Técnica
Humildade
Responsabilidade coletiva
Obsessão pelo aprendizado (x5)
Engajamento em reuniões
</t>
  </si>
  <si>
    <t xml:space="preserve">Excelência (x11)
Responsabilidade coletiva (x7)
Esforço
Dedicação
Motivação
Amizade (x2)
Protagonismo
Feedbacks (x3)
Obsessão pelo aprendizado (x2)
Planejamento
Resiliência
Reciprocidade
Transparência (x3)
Comunicação (x2)
Organização
Engajamento
Gestão de pessoas
Senso crítico
Participação em reuniões
</t>
  </si>
  <si>
    <t xml:space="preserve">Obsessão pelo aprendizado (x9)
Inovação (x3)
Excelência (x7)
Protagonismo (x6)
Amizade (x4)
Comunicação
Mentalidade de fundador (x2)
Integridade
Engajamento (x3)
Feedbacks
Sentimento de dono
Conciliação
Postura
Brilho nos olhos
Cultura do clube
</t>
  </si>
  <si>
    <t xml:space="preserve">Comunicação
Feedbacks (2x)
Gestão (3x)
Gestão de membros
Multidisciplinaridade
OPA
Organização (4x)
Participação
Proatividade
Proximidade dos liderados
Sentimento de Dono
Transparência
Variação de Motivação
Visão Estratégica
</t>
  </si>
  <si>
    <t xml:space="preserve">Amizade
Assumir responsabilidade
Consistência
Engajamento fora das demandas
Engajamento fora do trabalho
Exaustividade (2x)
Liderança
Nervosismo
OPA (2x)
Organização (3x)
Participação
Pensamento Crítico
Pontualidade
Prazos
Protagonismo (7x)
Senso de Dono (2x)
Senso de Urgência
Transparência (2x)
</t>
  </si>
  <si>
    <t xml:space="preserve">Argumentação
Comunicação (5x)
Consistência
Contato com outros membros
Engajamento com o clube
Engajamento fora das demandas
Feedbacks
Gestão de membros
Liderança
Motivação
Organização (5x)
Participação fora da demanda
Presença para além do alocado
Priorização (2x)
Protagonismo (3x)
Receptividade aos feedbacks
Responsabilidade Coletiva
</t>
  </si>
  <si>
    <t xml:space="preserve">Comunicação (2x)
Criatividade
Divisão do tempo
Equilíbrio
Firmeza
Gestão de Sobrecarga
Gestão de Tempo (3x)
Independência
Liderança (4x)
Nervosismo
Organização
Planejamento (2x)
Pragmatismo
Priorização
Protagonismo (2x)
Rigidez na liderança
Senso Crítico
Top-down
Transparência
</t>
  </si>
  <si>
    <t xml:space="preserve">Abertura para opinião contrária
Comunicação (2x)
Constância (2x)
Consistência (2x)
Desorganização
Equidade de alocação
Escuta nos feedbacks
Gestão
Gestão de Tempo (3x)
Imaturidade
Inflexibilidade
OPA
Organização (7x)
Perfeccionismo
Planejamento
Pontualidade
Postura (2x)
Priorização (2x)
Responsabilidade Coletiva
Senso de Urgência
Top-down (2x)
Transparência
</t>
  </si>
  <si>
    <t xml:space="preserve">Comunicação
Consistência
Engajamento em demandas
Equilíbrio Work-life
Excelência
Feedbacks
Gestão de Demandas
Hard Skills (2x)
Liderança
Organização (4x)
Participação
Pensamento Estratégico
Planejamento
Presença
Priorização (2x)
Protagonismo (2x)
Senso Crítico
Sobrecarga
Transparência
Trabalho em equipe
Visão Estratégica
</t>
  </si>
  <si>
    <t xml:space="preserve">Comunicação (5x)
Consistência
Firmeza
Gestão de Tempo
Inteligência Emocional
Liderança
Objetividade
Organização
Postura
Preocupação em Excesso
Proatividade
Protagonismo (2x)
Senso de Dono
Top-down
Transparência
Urgência
</t>
  </si>
  <si>
    <t xml:space="preserve">Comunicação (5x)
Constância
Disciplina
Engajamento com o clube
Esforço
Excelência (3x)
Exaustividade
Feedbacks
Liderança (3x)
Motivação
OPA (3x)
Organização (3x)
Proatividade
Protagonismo (2x)
Responsabilidade Coletiva
</t>
  </si>
  <si>
    <t xml:space="preserve">Organização (x3)
Inovação
Protagonismo (x6)
Engajamento
Brilho nos olhos
Proatividade
Senso de dono
Comunicação (x2)
Ambição
Participação em outras demandas (x3)
Feedbacks (x5)
Gestão de estresse
Liderança
Responsabilidade coletiva
Visão estratégica
Excelência
Contato com outras áreas
</t>
  </si>
  <si>
    <t>Autocrítica
Organização (x2)
Inteligência emocional (x3)
Mais contato com outros membros
Comunicação (x3)
Receptividade a feedbacks (x4)
Gestão de equipe (x2)
Participação em discussões e eventos (x3)
Assertividade
Persistência
Cobrança de prazos
Planejamento estratégico (x2)
Senso de urgência
Amizade (x2)
Protagonismo (x3)
Engajamento
Obsessão pelo aprendizado
Inovação
Motivação
Gestão de problemas</t>
  </si>
  <si>
    <t xml:space="preserve">Organização (x6)
Constância dos feedbacks
Feedbacks (x2)
Participação em reuniões
Participação em outras demandas (x3)
Conciliação com a faculdade
Planejamento estratégico (x3)
Excelência (x2)
Gestão de crise
Transparência (x2)
Comunicação (x3)
Objetividade
Perfeccionismo
Prazos
Gestão da demanda
</t>
  </si>
  <si>
    <t>Luma Garcia (3x), Gustavo Coscarelli (3x), Luiza Bulus (2x), Maria Fernanda Berger, Julia Carneiro</t>
  </si>
  <si>
    <t>Fábrica</t>
  </si>
  <si>
    <t>Rafael Diab</t>
  </si>
  <si>
    <t>Allan Sleman</t>
  </si>
  <si>
    <t>Gustavo Coscarelli</t>
  </si>
  <si>
    <t>João Souza</t>
  </si>
  <si>
    <t>João Vitor Martins</t>
  </si>
  <si>
    <t>Júlia Carneiro</t>
  </si>
  <si>
    <t>Luiza Bulus</t>
  </si>
  <si>
    <t>Luma Garcia</t>
  </si>
  <si>
    <t>Maria Fernanda Berger</t>
  </si>
  <si>
    <t>Rodrigo Spinelli</t>
  </si>
  <si>
    <t xml:space="preserve">Amizade
Comunicação
Coragem
Dedicação ao clube
Discussões
Engajamento (2x)
Envolvimento com a área
Excelência (4x)
Gestão de Membros
Liderança (3x)
Motivação (2x)
Multidisciplinaridade
Obsessão pelo Aprendizado
OPA (2x)
Organização
Preocupação com os membros/clube
Protagonismo (2x)
Raciocínio
Responsabilidade Coletiva (2x)
Senso Crítico (2x)
Sentimento de Dono (2x)
Visão Estratégica
</t>
  </si>
  <si>
    <t xml:space="preserve">Amizade (3x)
Argumentação
Comprometimento
Comunicação
Excelência (5x)
Feedbacks
Inovação
OPA (3x)
Organização
Pensa fora da caixa
Proatividade
Protagonismo
Questionador
Responsabilidade Coletiva
Senso Crítico (5x)
Seriedade
Solicitude
Trabalho em Equipe (3x)
Transparência (2x)
</t>
  </si>
  <si>
    <t xml:space="preserve">Amizade (3x)
Comunicação (3x)
Engajamento (2x)
Excelência (5x)
Feedbacks (4x)
Gestão de Membros (2x)
Interação fora das demandas
Liderança
Mentalidade de Fundador
OPA
Participação em reuniões
Pensamento Estratégico
Questionador
Receptividade a feedbacks
Responsabilidade Coletiva (3x)
Senso Crítico (6x)
Trabalho em Equipe (2x)
</t>
  </si>
  <si>
    <t xml:space="preserve">Amizade (4x)
Carisma
Comunicação (8x)
Contato com membros
Empatia (2x)
Gestão de membros
Leveza
Mentalidade de Fundador
Motivação (2x)
Organização
Participação
Proatividade
Responsabilidade Coletiva (2x)
Senso de Urgência
Trabalho em Equipe (2x)
Transparência
</t>
  </si>
  <si>
    <t xml:space="preserve">Amizade (3x)
Capacidade Analítica
Dedicação
Engajamento
Excelência (6x)
Hard Skills (2x)
Inovação (3x)
Liderança (4x)
Obsessão pelo Aprendizado (2x)
OPA (5x)
Participação
Planejamento
Proatividade
Protagonismo (3x)
Responsabilidade Coletiva (2x)
Senso Crítico (2x)
Top-down
Transparência
Visão Crítica
</t>
  </si>
  <si>
    <t xml:space="preserve">Argumentação
Comunicação (3x)
Consistência
Dedicação
Empatia
Entregas
Excelência (5x)
Exaustividade
Feedbacks
Obsessão pelo Aprendizado (2x)
Organização (5x)
Oratória
Planejamento (2x)
Pontualidade
Protagonismo (2x)
Senso Crítico (3x)
Solicitude
Trabalho em Equipe (2x)
Transparência
</t>
  </si>
  <si>
    <t xml:space="preserve">Amizade
Busca pela excelência
Dedicação
Disciplina
Entregas
Excelência (6x)
Feedbacks (3x)
Inovação
Liderança (2x)
Motivação
OPA (2x)
Organização
Participação na fábrica
Pensamento Estratégico
Planejamento Estratégico
Protagonismo
Raciocínio Lógico
Senso Crítico (3x)
</t>
  </si>
  <si>
    <t xml:space="preserve">Amizade (4x)
Carisma
Comunicação
Consistência (2x)
Engajamento
Engajamento com o clube
Excelência (6x)
Feedbacks (3x)
Gestão de Membros (2x)
Gestão de Pessoas
Liderança (2x)
Mentalidade de Fundador
Motivação
OPA
Organização
Participação geral
Protagonismo (2x)
Responsabilidade Coletiva
Senso Crítico (2x)
Transparência (2x)
</t>
  </si>
  <si>
    <t xml:space="preserve">Abertura à desafios
Amizade (5x)
Comunicação (2x)
Comprometimento
Equilíbrio Work-life
Excelência (2x)
Gestão de Membros
Liderança (2x)
Obsessão pelo Aprendizado
Organização (2x)
Pragmatismo
Responsabilidade Coletiva (2x)
Sentimento de Dono
Solicitude
Trabalho em Equipe
Transparência (3x)
Visão Estratégica
</t>
  </si>
  <si>
    <t xml:space="preserve">Amizade (3x)
Comunicação (3x)
Comprometimento com o Clube
Constância
Dedicação
Excelência (7x)
Feedbacks (3x)
Gestão de Tempo
Mentalidade de Fundador
Motivação (2x)
Oratória
Organização (2x)
Participação (3x)
Protagonismo (2x)
Senso Crítico (2x)
Senso de Pertencimento
Transparência
</t>
  </si>
  <si>
    <t xml:space="preserve">Acompanhamento dos membros
Amizade
Autopromoção/Autovalorização
Comunicação (2x)
Constância de feedbacks
Contato com membros
Inteligência Emocional
Liderança (2x)
OPA
Organização (4x)
Participação
Postura
Postura de exemplo
Priorização de tarefas
Proatividade
Protagonismo (2x)
Responsabilidade Coletiva
Sentimento de Dono
Tom e Tato (2x)
Transparência (3x)
Transmitir conhecimento
</t>
  </si>
  <si>
    <t xml:space="preserve">Ambição
Comunicação (2x)
Excelência
Feedbacks
Gestão de Membros
Incentivo aos membros
Liderança (3x)
Motivação
Obsessão pelo Aprendizado (2x)
OPA
Organização (3x)
Participação no clube
Planejamento
Pontualidade
Postura de liderança
Protagonismo (4x)
Responsabilidade
Responsabilidade Coletiva
Senso de Pertencimento
Senso de Urgência
Tom e Tato
Transparência
</t>
  </si>
  <si>
    <t xml:space="preserve">Acomodação
Autopromoção
Comunicação
Constância (2x)
Divisão de Tarefas
Engajamento
Gestão
Gestão de Pessoas
Inovação
Liderança
OPA
Organização (6x)
Oratória
Planejamento (2x)
Pontualidade
Postura (2x)
Proatividade
Rigidez
Senso de Dono (2x)
Transparência (2x)
</t>
  </si>
  <si>
    <t xml:space="preserve">Dedicação
Engajamento fora do trabalho
Excelência (4x)
Exaustividade
Feedbacks (2x)
Inovação
Liderança (2x)
Obsessão pelo Aprendizado (2x)
OPA (2x)
Organização (2x)
Participar mais
Pensamento Estratégico (2x)
Protagonismo
Sair da zona de conforto
Senso Crítico (2x)
</t>
  </si>
  <si>
    <t xml:space="preserve">Clareza no alinhamento
Comunicação (3x)
Constância
Engajamento
Feedbacks
Gestão de Grupo
Gestão de Membros
Liderança (4x)
Otimização de tempo
Participação
Perfeccionismo
Politicagem
Postura
Protagonismo
Senso de Dono
Trabalho em Equipe
Transparência
</t>
  </si>
  <si>
    <t xml:space="preserve">Abertura para feedbacks
Acompanhamento pessoal
Amizade
Capacidade Analítica
Comunicação
Criatividade
Engajamento (3x)
Escuta
Exaustividade em feedbacks
Feedbacks (3x)
Gestão de Grupo
Gestão de Pessoas
Liderança
OPA
Participação em outras demandas
Participação em reuniões
Perfeccionismo
Postura
Protagonismo
Receptividade a feedbacks
Sentimento de Dono
Transparência
</t>
  </si>
  <si>
    <t xml:space="preserve">Comunicação
Constância
Dar mais espaço pra membros
Empatia
Engajamento
Gestão de Membros (2x)
Gestão de Pessoas (2x)
Gestão de Sobrecarga
Liderança
Objetividade na fala
Participação em outras demandas
Planejamento de ciclo
Politicagem
Presença no clube
Protagonismo
Receptividade a feedbacks
Responsabilidade Coletiva
Senso de Dono
Trabalho em Equipe
Transparência
</t>
  </si>
  <si>
    <t xml:space="preserve">Adaptabilidade
Cobrança
Comunicação
Contato com mais membros
Engajamento com as outras áreas
Engajamento em outras áreas
Excelência
Feedbacks
Gestão de Tempo (2x)
Liderança (2x)
Motivação
Motivar membros novos
OPA (2x)
Organização (2x)
Planejamento
Pontualidade
Postura
Protagonismo
Senso Crítico
Senso de Dono
Tom e Tato
Transparência em feedbacks
Urgência em respostas
</t>
  </si>
  <si>
    <t xml:space="preserve">Comunicação
Confiança
Consistência
Contato com membros fora da demanda
Dedicação
Desenvoltura
Equilíbrio
Esforço contínuo
Estabilidade de motivação
Feedbacks (3x)
Gestão de Membros
OPA
Organização (3x)
Oratória
Participação
Pensamento Inovativo
Pontualidade
Presença em reuniões fora da demanda
Protagonismo
Senso Crítico
Transparência
</t>
  </si>
  <si>
    <t xml:space="preserve">Comunicação (2x)
Constância (2x)
Contato com membros fora das demandas
Equilíbrio clube x faculdade
Excelência (3x)
Gestão (2x)
Gestão de Grupo
Gestão de membros
Inovação
Inteligência Emocional
Liderança (4x)
Motivação
OPA (2x)
Organização (3x)
Participação maior em outras áreas
Pensamento Estratégico
Postura
Priorização de tarefas
Protagonismo
Sentimento de Dono
</t>
  </si>
  <si>
    <t>O Dashboard Evolutivo analisa o resultado de um membro que está no CC desde 20.2, utilizando, para isso, as avaliações dos ciclos de 21.1 e 21.2. É importante ressaltar que, a cada ciclo, passamos a avaliar os membros de maneira mais criteriosa, o que pode implicar uma média mais baixa, mas que não necessariamente significa um desempenho inferior.</t>
  </si>
  <si>
    <t>Membro</t>
  </si>
  <si>
    <t>Vinicius Ghiotti</t>
  </si>
  <si>
    <t>Delta</t>
  </si>
  <si>
    <t>Participou ativamente e usufruiu das atividades internas organizadas por qualquer uma das áreas do Consulting Club</t>
  </si>
  <si>
    <t>Participou ativamente e usufruiu das atividades internas organizadas por qualquer uma das áreas do Consulting Club (capacitações internas, leiccura…)</t>
  </si>
  <si>
    <t>Buscou e compartilhou continuamente o conhecimento para além das atividades formais (livros, cursos, notícias…)</t>
  </si>
  <si>
    <t>Buscou e compartilhou continuamente o conhecimento para além das atividades formais (livros, cursos, notícias, capacitações…)</t>
  </si>
  <si>
    <t>Provou-se como uma referência não só no Clube, mas também na faculdade, indo às aulas e se dedicando.</t>
  </si>
  <si>
    <t>Demonstrou procurar ativamente formas de aprender com as suas próprias demandas</t>
  </si>
  <si>
    <t>Fez as suas entregas com excelente qualidade</t>
  </si>
  <si>
    <t>Apresentou senso crítico em relação às entregas e aos membros com os quais trabalha</t>
  </si>
  <si>
    <t>Apresentou senso crítico e opiniões próprias em relação às entregas e aos membros com os quais trabalha</t>
  </si>
  <si>
    <t>Foi capaz de cumprir os prazos definidos para as suas responsabilidades</t>
  </si>
  <si>
    <t>Teve inteligência emocional e soube manter a calma em situações de pressão e de estresse</t>
  </si>
  <si>
    <t>Demonstrou maturidade em sua postura e suas ações</t>
  </si>
  <si>
    <t>Buscou pensar criticamente sobre as suas atividades no Clube e ir além, trazendo novas ideias (seja para a demanda, para a área, para o Clube...)</t>
  </si>
  <si>
    <t>Correspondeu aos feedbacks construtivos, melhorando os pontos apontados tanto nas entregas como nas atitudes</t>
  </si>
  <si>
    <t>Esteve continuamente questionando a forma atual de fazer as coisas e teve iniciativa para desenvolver melhorias inovadoras e internas para o Clube</t>
  </si>
  <si>
    <t>Motivou o grupo em prol do objetivo comum, fomentando o engajamento de seus amigos e a busca por resultados excelentes</t>
  </si>
  <si>
    <t>Foi confiante e proativo para tomar iniciativa de resolver problemas e tomar responsabilidades para si</t>
  </si>
  <si>
    <t>Foi respeitoso e educado no tratamento com outros membros, mesmo em situações de divergência</t>
  </si>
  <si>
    <t>Mostrou abertura para criar laços com outros membros e aproveitar momentos de resenha</t>
  </si>
  <si>
    <t>Estimulou e/ou promoveu momentos de descontração fora do ambiente formal do Clube</t>
  </si>
  <si>
    <t>Buscou os outros membros do Clube visando aprofundar as suas relações de amizade</t>
  </si>
  <si>
    <t>Esteve presente nos momentos de descontração com os membros, prezando pelo valor da amizade para além do ambiente formal</t>
  </si>
  <si>
    <t>Entendeu a forma mais adequada para dar feedbacks pertinentes para o desenvolvimento de outros membros</t>
  </si>
  <si>
    <t>Preocupou-se com a qualidade da demanda, dando feedbacks completos nas entregas</t>
  </si>
  <si>
    <t>Preocupou-se constantemente com o desenvolvimento dos membros, dando-lhes feedbacks completos</t>
  </si>
  <si>
    <t>Buscou ajudar outros membros a se desenvolverem</t>
  </si>
  <si>
    <t>Preocupou-se com o emocional e bem-estar dos companheiros de trabalho</t>
  </si>
  <si>
    <t>Média geral</t>
  </si>
  <si>
    <t>João Marcos</t>
  </si>
  <si>
    <t>Gabriel Andrade</t>
  </si>
  <si>
    <t>Vicente Tebaldi</t>
  </si>
  <si>
    <t>Diego Iglesias</t>
  </si>
  <si>
    <t>Participar ativamente e usufrir das atividades, internas ou externas, organizadas por qualquer uma das áreas do Consulting Club</t>
  </si>
  <si>
    <t>Corresponder aos feedbacks construtivos, modificando os pontos apontados tanto nas entregas como nas atitudes</t>
  </si>
  <si>
    <t>Buscar continuamente o conhecimento para além das atividades formais (livros, cursos, notícias, etc.)</t>
  </si>
  <si>
    <t>Fazer suas entregas com excelente qualidade</t>
  </si>
  <si>
    <t>Apresentar senso crítico em relação às entregas e opiniões próprias e dos outros membros</t>
  </si>
  <si>
    <t>Ser capaz de cumprir os prazos que definiu para as suas responsabilidades</t>
  </si>
  <si>
    <t>Comunicar-se com clareza e de maneira lógica, tanto oralmente quanto por escrita</t>
  </si>
  <si>
    <t>Saber diferenciar os momentos de descontração e aqueles nos quais é necessária uma postura profissional</t>
  </si>
  <si>
    <t>Ter inteligência emocional e manter a calma em situações de pressão e estresse</t>
  </si>
  <si>
    <t>É alguém que, no geral, gera admiração e é um exemplo a ser seguido.</t>
  </si>
  <si>
    <t>Motivar o grupo em prol do objetivo comum, fomentando o engajamento e a busca por resultado ótimos</t>
  </si>
  <si>
    <t>Saber ouvir outras opiniões e reconhecer quando as alternativas são mais pertinentes</t>
  </si>
  <si>
    <t>Estar sempre questionando e desenvolvendo iniciativas inovadoras e melhorias internas para o clube</t>
  </si>
  <si>
    <t>Ser confiante e proativo para tomar iniciativa e resolver problemas</t>
  </si>
  <si>
    <t>Valorizar as relações de amizade com os membros do Clube, fortalecendo-as cada vez mais</t>
  </si>
  <si>
    <t>Ser respeitoso e educado no tratamento com outros membros, mesmo em situações de divergência</t>
  </si>
  <si>
    <t>Prezar pelo convívio com os membros no ambiente da faculdade (salinha, almoços, etc.)</t>
  </si>
  <si>
    <t>Estar presente nos momentos de descontração com os membros fora do clube, prezando pelo convívio além do ambiente formal.</t>
  </si>
  <si>
    <t>Ser franco e sincero com feedbacks e transparecer seus incômodos e insatisfações</t>
  </si>
  <si>
    <t>Transparecer anseios e problemas pessoais e ter a humildade de assumir a culpa e reconhecer os erros</t>
  </si>
  <si>
    <t>Ir além das suas obrigações sendo proativo e prestativo com membros e demandas de outras áreas</t>
  </si>
  <si>
    <t>Compartilhar conhecimento com os outros membros, zelando pelo desenvolvimento de todos</t>
  </si>
  <si>
    <t>Dar frequentemente feedbacks construtivos em entregas e comportamentos dos membros</t>
  </si>
  <si>
    <t>Se preocupar com o emocional e bem-estar dos companheiros de trabalho</t>
  </si>
  <si>
    <t>Obsessão pelo aprendizado (5x)
Amizade (4x)
Engajamento (3x)
Aberto a críticas e feedbacks (3x)
Protagonismo (2x)
Responsabilidade coletiva (2x)
Excelência (1x)
Humildade (1x)</t>
  </si>
  <si>
    <t>Responsabilidade coletiva (6x)
Excelência (4x)
Amizade (4x)
Proatividade (3x)
Envolvimento com o clube (3x)
Brilho nos olhos (2x)
Trabalho em equipe (2x)
Humildade (1x)
Alinhamento com a cultura (1x)</t>
  </si>
  <si>
    <t>Excelência (5x)
Proatividade (3x)
Liderança (1x)
Obsessão pelo aprendizado (1x)
Postura (1x)
Motivação (1x)
Responsabilide coletiva (1x)
Liderança (1x)
Ir além (1x)
Lida bem com feedbacks (1x)</t>
  </si>
  <si>
    <t>Excelência (4x)
Organização (3x)
Cumprimento de prazos (2x)
Objetividade (1x)
Criatividade (1x)
Transparência (1x)
Obsessão pelo aprendizado (1x)</t>
  </si>
  <si>
    <t xml:space="preserve">Organização e menos procrastinação (4x)
Sinceridade nos feedbacks (3x)
Senso crítico (2x)
Comunicação e apresentações (2x)
Excelência (2x)
Liderança (2x)
Proatividade (2x)
Postura (2x)
Ir além (2x)
Prazos  e pontualidade (2x)
</t>
  </si>
  <si>
    <t>Comunicação (7x)
Autoconfiança (4x)
Organização e gestão de tempo (3x)
Feedbacks construtivos (2x)
Saber a hora de dizer não (2x)
Transparecer insatisfações (2x)
Liderança (2x)
Participação efetiva em reuniões (2x)
Maturidade (1x)
Produtividade (1x)</t>
  </si>
  <si>
    <t>Feedbacks mais construtivos (3x)
Presença no dia a dia (3x)
Comunicação (2x)
Amizade (1x)
Postura (1x)
Senso crítico (1x)
Liderança (1x)
Maturidade (1x)
Gestão de pessoas (1x)</t>
  </si>
  <si>
    <t>Senso crítico (2x)
Proatividade (2x)
Protagonismo
Obsessão pelo aprendizado</t>
  </si>
  <si>
    <t>Carlos Maximino</t>
  </si>
  <si>
    <t>Gustavo Lorenzatto</t>
  </si>
  <si>
    <t>Matheus Lisboa</t>
  </si>
  <si>
    <t>Rodrigo Ferreira</t>
  </si>
  <si>
    <t>Eduardo Pessoa</t>
  </si>
  <si>
    <t>Felipe Berger</t>
  </si>
  <si>
    <t>Gabriel Carnevale</t>
  </si>
  <si>
    <t>Luisa Souza</t>
  </si>
  <si>
    <t>Marcelo Leiras</t>
  </si>
  <si>
    <t>Se esforçar em busca de excelência na faculdade</t>
  </si>
  <si>
    <t>Demonstrar maturidade em sua postura e suas ações</t>
  </si>
  <si>
    <t>É alguém que, no geral, gera admiração e a partir de suas ações é um exemplo a ser seguido</t>
  </si>
  <si>
    <t>Prezar pelo convívio com os membros no ambiente da faculdade (almoços, LIG, etc.)</t>
  </si>
  <si>
    <t>Estar presente nos momentos de descontração com os membros fora do clube, prezando pelo convívio além do ambiente formal</t>
  </si>
  <si>
    <t>Entender a melhor forma para dar feedbacks e transparecer seus incômodos</t>
  </si>
  <si>
    <t>Preocupar-se com o desenvolvimento dos membros, dando-lhes feedbacks completos</t>
  </si>
  <si>
    <t>Ter a humildade de assumir a culpa e reconhecer os erros/problemas</t>
  </si>
  <si>
    <t>Ir além das suas obrigações, sendo interessado e prestativo com membros e demandas nas quais não se está alocado</t>
  </si>
  <si>
    <t>Zelar pelo desenvolvimento dos outros membros</t>
  </si>
  <si>
    <t>Zelar pelo bem do clube como um todo, sentindo-se responsável por tudo que acontece</t>
  </si>
  <si>
    <t xml:space="preserve">Obsessão pelo aprendizado (8x)
Motivação (3x)
Dedicação (2x)
Engajamento (2x)
Responsabilidade coletiva (2x)
Excelência (2x)
Comunicação (2x)
Compartilhar conhecimento aos outros membros (1x)
Inteligência emocional (1x)
Amizade (1x)
Trabalho em equipe (1x)
</t>
  </si>
  <si>
    <t xml:space="preserve">Engajamento (5x)
Organização (5x)
Excelência (5x)
Obsessão pelo aprendizado (4x)
Fazer tudo com antecedência (3x)
Responsabilidade coletiva (3x)
Dedicação (2x)
Feedbacks Completos (2x)
Protagonismo (2x)
Senso Crítico (2x)
</t>
  </si>
  <si>
    <t>Amizade (4x)
Senso crítico (4x)
Transparência (4x)
Responsabilidade coletiva (3x)
Engajamento (3x)
Excelência (2x)
Postura (2x)
Aceitar bem feedbacks (2x)
Obsessão pelo aprendizado (2x)
Protagonismo (2x)
Compartilhar conhecimento aos outros membros (1x)
Humildade (1x)
Empatia (1x)</t>
  </si>
  <si>
    <t>Amizade (4x)
Transparência (3x)
Organizado (3x)
Excelência (3x)
Engajamento (3x)
Dedicação (3x)
Visão Global/Estratégica (2x)
Responsabilidade coletiva (2x)
Aceitar bem feedbacks (2x)
Preocupação com os outros membros (1x)</t>
  </si>
  <si>
    <t xml:space="preserve">Excelência (5x)
Criatividade (2x)
Motivação (2x)
Responsabilidade coletiva (2x)
Conversão em candidatos (1x)
Postura (1x)
Dedicação (1x)
Inteligência emocional (1x)
Aceitar bem feedbacks (1x)
Senso crítico (1x)
</t>
  </si>
  <si>
    <t>Excelência (9x)
Feedbacks completos (5x)
Organização (5x)
Amizade (4x)
Responsabilidade coletiva (4x)
Liderança (3x)
Engajamento (3x)
Comunicação (2x)
Proatividade (2x)
Prazos (2x)
Senso crítico (2x)</t>
  </si>
  <si>
    <t>Excelência (6x)
Senso crítico (4x)
Obsessão pelo aprendizado (3x)
Responsabilidade (3x)
Transparência (3x)
Visão global/estratégica (2x)
Engajamento (2x)
Organização (2x)
Postura (1x)
Liderança (1x)</t>
  </si>
  <si>
    <t>Amizade (10x)
Engajamento (5x)
Responsabilidade coletiva (5x)
Proatividade (5x)
Excelência (2x)
Transparência (2x)
Preocupação com os membros (2x)
Senso crítico (2x)
Trabalho em equipe (2x)
Alinhamento com a cultura (1x)</t>
  </si>
  <si>
    <t>Amizade (9x)
Responsabilidade coletiva (9x)
Engajamento (6x)
Senso crítico (5x)
Excelência (4x)
Feedbacks completos (2x)
Preocupação com os outros membros (2x)
Visão global/estratégica (2x)</t>
  </si>
  <si>
    <t>Amizade (4x)
Responsabilidade coletiva (3x)
Senso crítico (2x)
Humildade para admitir erros (2x)
Aceitar bem feedbacks (2x)
Calma em situações de pressão (2x)
Excelência (1x)
Proatividade (1x)
Organização (1x)
Comunicação (1x)</t>
  </si>
  <si>
    <t>Transparência (6x)
Excelência (5x)
Senso crítico (3x)
Proatividade (2x)
Organização (2x)
Obsessão pelo aprendizado (2x)
Saber ouvir outras opiniões (1x)
Dedicação (1x) 
Comunicação (1x)
Amizade (1x)</t>
  </si>
  <si>
    <t>Excelência (7x)
Senso crítico (5x)
Protagonismo (5x)
Feedbacks completos (3x)
Motivar a equipe (2x)
Visão estratégica/global (2x)
Amizade (2x)
Mentalidade do Fundador (2x)
Responsabilidade coletiva (2x)</t>
  </si>
  <si>
    <t>Obsessão pelo aprendizado (4x)
Amizade (4x)
Comunicação (3x)
Engajamento (3x)
Proatividade (1x)
Reconhecer erros (1x)
Dedicação (1x)</t>
  </si>
  <si>
    <t>Visão global/estratégica (3x)
Liderança (3x)
Protagonismo (2x)
Participação nas demandas em que não está alocado (2x)
Senso crítico (2x)
Transparência (1x)
Feedbacks completos (1x)
Se perder quando está tentando ir além (1x)</t>
  </si>
  <si>
    <t xml:space="preserve">Maturidade (3x)
Escutar melhor os outros (3x)
Liderança (2x)
Inovar mais (2x)
Inetligência emocional (2x)
Não fazer as coisas só por ser obrigação (1x)
Feedbacks mais completos (1x)
Reclamações (1x)
</t>
  </si>
  <si>
    <t>Excelência na faculdade (7x)
Organização pessoal (7x)
Postura (3x)
Excelência (2x)
Senso crítico (1x)
Protagonismo (1x)</t>
  </si>
  <si>
    <t>Autoconfiânça (3x)
Expor suas ideias (3x) 
Obsessão pelo aprendizado (2x)
Excelência (2x)
Protagonismo (1x)
Lidar com momentos de estresse (1x)
Participação nas demandas em que não está alocado (1x)
Proatividade (1x)</t>
  </si>
  <si>
    <t>Engajamento fora da formalidade (5x)
Engajamento (3x)
Protagonismo (2x)
Obsessão pelo aprendizado (2x)
Transparência (2x)
Senso crítico (2x)
Maturidade (1x)
Proatividade (1x)</t>
  </si>
  <si>
    <t xml:space="preserve">Externalizar mais as opiniões (6x)
Liderança (3x)
Motivar os outros (2x)
Visão estratégica/global
Assumir a responsabilidade quando necessário (2x)
Responsabilidade coletiva (2x)
Proatividade (2x)
</t>
  </si>
  <si>
    <t>Feedbacks completos (4x)
Forma como se posiciona (3x)
Clareza na comunicação (2x)
Externalizar a motivação (2x)
Liderança (1x)
Proatividade (1x)
Ir além (1x)</t>
  </si>
  <si>
    <t>Consistência no engajamento (4x)
Clareza na comunicação (4x)
Obsessão pelo aprendizado (3x)
Proatividade (3x)
Maturidade (3x)
Feedbacks completos (3x)
Autoconfiança (2x)
Postura (2x)
Transparência (2x)
Saber ouvir opiniões divergentes (1x)</t>
  </si>
  <si>
    <t>Organização (7x)
Comunicação (5x)
Autoconfiança (3x)
Obsessão pelo aprendizado (3x)
Produtividade (2x)
Dedicação na faculdade (2x)
Pontualidade (2x)
Transparência (1x)</t>
  </si>
  <si>
    <t>Participação e envolvimento no clube (3x)
Visão global/estratégica sobre o clube (2x)
Protagonismo (2x)
Dedicação (2x)
Postura (2x)
Engajamento (1x)
Excelência (1x)
Obsessão pelo aprendizado (1x)
Ir além (1x)</t>
  </si>
  <si>
    <t>Participação e envolvimento no clube (6x)
Protagonismo (4x)
Amizade (3x)
Autoconfiança (3x)
Comunicação (2x)
Organização (2x)
Sensibilidade dos feedbacks (2x)
Responsabilidade coletiva (2x)
Engajamento (1x)
Ir além (1x)</t>
  </si>
  <si>
    <t>Comunicação (5x)
Feedbacks construtivos (4x)
Ouvir opiniões contrárias (4x)
Transparência (2x)
Objetividade (2x)
Preocupação com as necessidades dos membros (2x)
Organização pessoal (2x)
Tato em discussões (1x)</t>
  </si>
  <si>
    <t>Maturidade (4x)
Postura (3x)
Senso de priorização (3x)
Produtividade (2x)
Excelência e regularidade nas entregas (2x)
Senso crítico (2x)
Responsabilidade coletiva (1x)
Independência (1x)</t>
  </si>
  <si>
    <t>Daniela Fornasari</t>
  </si>
  <si>
    <t>Enzo Begni</t>
  </si>
  <si>
    <t>Juliana Rambaldi</t>
  </si>
  <si>
    <t>Eduardo Brasil</t>
  </si>
  <si>
    <t>Felipe Andrade</t>
  </si>
  <si>
    <t>Manuel Lusquiños</t>
  </si>
  <si>
    <t>Marcelo Bezerra</t>
  </si>
  <si>
    <t>Laila Mannheimer</t>
  </si>
  <si>
    <t>Gabriel Fonseca</t>
  </si>
  <si>
    <t>Buscar se desenvolver ao maximo nas próprias demandas</t>
  </si>
  <si>
    <t>Busca sempre ir além em suas atividades de forma criativa</t>
  </si>
  <si>
    <t>Saber valorizar bons resultados e comportamentos dos outros membros</t>
  </si>
  <si>
    <t>Excelência (6x)
Obsessão pelo aprendizado (5x)
Visão Estratégica (4x)
Protagonismo (4x)
Procupação com os membros (2x)
Senso Crítico (2x)
Amizade (2x)
Transparência (2x)
Comunicação (2x)</t>
  </si>
  <si>
    <t>Excelência (6x)
Protagonismo (6x)
Amizade (5x)
Senso Crítico (5x)
Obsessão pelo aprendizado (4x)
Organização (4x)
Visão estratégica (4x)
Maturidade (2x)
Transparência (2x)</t>
  </si>
  <si>
    <t xml:space="preserve">Amizade (3x)
Obsessão pelo aprendizado (3x)
Senso crítico (2x)
Excelência (2x)
</t>
  </si>
  <si>
    <t xml:space="preserve">Amizade (6x)
Organização (5x)
Excelência (3x)
Transparência (2x)
Responsabilidade Coletiva (3x)
Visão Estratégica (2x)
Senso crítico (2x)
Feedback (2x)
Liderança (2x)
</t>
  </si>
  <si>
    <t>Excelência (7x)
Responsabilidade coletiva (4x)
Dedicação (3x)
Amizade (3x)
Engajamento (2x)
Liderança (2x)
Protagonismo (2x)
Criatividade (2x)</t>
  </si>
  <si>
    <t>Amizade (7x)
Senso crítico (5x)
Organização (5x)
Transparência (4x)
Excelência (4x)
Comunicação (4x)
Liderança (3x)
Pensamento estratégico (3x)
Responsabilidade coletiva (2x)
Inteligência emocional (2x)
Excel e VBA (1x)</t>
  </si>
  <si>
    <t>Obsessão pelo aprendizado (8x)
Senso crítico (6x)
Excelência (5x)
Maturidade (4x)
Pensamento estratégico (3x)
Protagonismo (3x)
Amizade (2x)</t>
  </si>
  <si>
    <t>Senso crítico (7x)
Excelência (5x)
Liderança (4x)
Visão estratégica (3x)
Protagonismo (3x)
Amizade (3x)
Responsabilidade coletiva (3x)
Postura (2x)</t>
  </si>
  <si>
    <t>Amizade (17x)
Responsabilidade coletiva (14x)
Senso crítico (5x)
Visão estratégica (4x)
Excelência (4x)
Saber ouvir (4x)
Maturidade (3x)
Prestativo (3x)</t>
  </si>
  <si>
    <t>Amizade (7x)
Senso crítico (5x)
Responsabilidade Coletiva (3x)
Aceita opiniões (3x)
Calma (3x)
Comunicação (2x)</t>
  </si>
  <si>
    <t>Excelência (5x)
Senso crítico (3x)
Organização (3x)
Consistência (3x)
Transparência (2x)
Maturidade (2x)
Autoconfiança (2x)</t>
  </si>
  <si>
    <t>Senso Crítico (12x)
Amizade (10x)
Obsessão pelo aprendizado (8x)
Visão estratégica (5x)
Mentalidade do fundador (4x)
Liderança (4x)
Confiança (3x)
Excelência (3x)
Participativo (3x)</t>
  </si>
  <si>
    <t>Amizade (7x)
Comunicação (6x)
Transparência (5x)
Obsessão pelo aprendizado (2x)
Calma (2x)
Transmite motivação (2x)</t>
  </si>
  <si>
    <t xml:space="preserve">Excelência (4x)
Organização (3x)
Amizade (3x)
Comunicação (2x)
Transparência (2x)
Senso Crítico (2x)
Responsabilidade Coletiva (1x)
</t>
  </si>
  <si>
    <t>Obsessão pelo aprendizado (4x)
Participação nas discussões (3x)
Excelência (3x)
Amizade (2x)
Senso Crítico (2x)
Organização (2x)
Excelência na Faculdade (2x)
Maturidade(1x)
Corresponde bem aos feedbacks(1x)</t>
  </si>
  <si>
    <t>Responsablidade coletiva (6x)
Organização (6x)
Excelência (3x)
Amizade (3x)
Proatividade (3x)
Inteligência Emocional (3x)
Protagonismo (3x)</t>
  </si>
  <si>
    <t>Amizade (6x)
Proatividade (4x)
Engajamento (4x)
Dedicação (3x)
Ir além de suas demandas (3x)
Protagonismo (2x)</t>
  </si>
  <si>
    <t>Amizade (6x)
Excelência (4x)
Saber ouvir (4x)
Comunicação (2x)
Humildade (2x)</t>
  </si>
  <si>
    <t>Excelência (8x)
Senso crítico (3x)
Amizade (2x)
Planejamento (2x)
Comunicação (2x)</t>
  </si>
  <si>
    <t>Obsessão pelo aprendizado (5x)
Responsabilidade Coletiva (3x)
Transparência (2x)
Amizade (2x)
Esforçado (2x)
Comunicação (2X)
Aceita bem os feedbacks (2x)</t>
  </si>
  <si>
    <t xml:space="preserve">Transparência (3x)
Inteligência (3x)
Obsessão pelo aprendizado (2x)
Responsabilidade Coletiva (2x)
Amizade (2x)
Excelência (2x)
Protagonismo (2x)
Comunicação (2x)
</t>
  </si>
  <si>
    <t>Amizade (3x)
Participativo (3x)
Responsabilidade Coletiva (3x)
Recebe bem feedbacks (2x)
Protagonismo (2x)
Proatividade (2x)
Transparência (2x)
Prazo (2x)</t>
  </si>
  <si>
    <t xml:space="preserve">Transparência (4x)
Liderança (3x)
Comunicação (3x)
Organização (3x)
Responsabilidade Coletiva (3x)
Inteligência emocional (2x)
</t>
  </si>
  <si>
    <t>Saber ouvir (9x)
Transparência (6x)
Postura (3x)
Inteligência Emocional (2x)
Abertura com os membros (2x)
Comunicação (2x)
Flexibilidade (2x)
Mais participativo (1x)</t>
  </si>
  <si>
    <t>Postura (2x)
Preocupação com a faculdade (2x)
Organiazação (2x)
Senso de urgência (1x)
Motivar a equipe (1x)</t>
  </si>
  <si>
    <t>Obsessão pelo aprendizado (3x)
Mentalidade do fundador (3x)
Transparência (3x)
Protagonismo (3x)
Confiança (2x)</t>
  </si>
  <si>
    <t>Dedicação acadêmica (5x)
Prolixo (4x)
Senso crítico (4x)
Comunicação (3x)
Obsessão pelo aprendizado (3x)
Inteligência emocional (3x)
Organização (3x)
Presença em momentos de descontração (2x)</t>
  </si>
  <si>
    <t>Obsessão pelo aprendizado (6X)
Mais Participativo (4x)
Excelência na Faculdade (2x)
Pensamento estratégico (2x)
Ouvir mais (2x)
Feedbacks presenciais (1x)
Postura (1x)</t>
  </si>
  <si>
    <t>Feedbacks (5x)
Amizade (3x)
Ser grosso (3x)
Comunicação (3x)
Sensibilidade (3x)
Gestão de pessoas (2x)</t>
  </si>
  <si>
    <t xml:space="preserve">Obsessão pelo aprendizado (7x)
Comunicação (5x)
Inteligência emocional (5x)
Amizade (4x)
Transparência (3x)
Organização (2x)
</t>
  </si>
  <si>
    <t>Expor mais opinião (8x)
Comunicação (7x)
Obsessão pelo aprendizado (7x)
Preocupação com a faculdade (5x)
Proatividade (3x)
Inteligência emocional (3x)
Organização (3x)
Ser mais rígido (3x)</t>
  </si>
  <si>
    <t>Obsessão pelo aprendizado (5x)
Excelência (4x)
Pensamento estratégico (4x)
Engajamento em momentos informais (3x)
Proatividade (2x)
Liderança (2x)
Comprometimento (2x)</t>
  </si>
  <si>
    <t>Protagonismo (4x)
Amizade (5x)
Senso crítico (3x)
Engajamento (3x)
Excelência (3x)
Organização (3x)
Responsabilidade coletiva (3x)
Obsessão pelo aprendizado (2x)</t>
  </si>
  <si>
    <t xml:space="preserve">Saber ouvir (13x)
Ser menos impositivo (5x)
Arrogância/Rude (4x)
Dar mais feedbacks (3x)
Responder a feedbacks (2x)
Participar de demandas de forma garal (2x)  </t>
  </si>
  <si>
    <t>Excelência (6x)
Consistência no engajamento (4x)
Organização (3x)
Senso crítico (3x)
Protagonismo (3x)
Saber a melhor forma de dar  feedback (3x)
Prolixo (3x)
Maturidade (2x)
Liderança (2x)</t>
  </si>
  <si>
    <t>Obsessão pelo aprendizado (3x)
Maturidade (3x)
Inteligência emocional (3x)
Protagonismo (3x)
Mais participativa (2x)
Feedbacks mais completos (2x)
Visão Estratégica (2x)</t>
  </si>
  <si>
    <t>Inteligência Emocional (3x)
Confiança (2x)
Protagonismo (2x)
Liderança (2x)
Organização (2x)
Comunicação (2x)
Maturidade(1x)
Prazos (1x)</t>
  </si>
  <si>
    <t xml:space="preserve">Mais participativa (5x)
Obsessão pelo aprendizado (4x)
Inteligência Emocional (3x)
Comunicação (2x)
Protagonismo (2x)
Visão Estratégica (2x)
Transparência (2x)
Motivar os outros (1x)
</t>
  </si>
  <si>
    <t>Postura (5x)
Senso crítico (4x)
Liderança (3x)
Comunicação (3x)
Obsessão pelo aprendizado ()
Forma de se dar feedback (2x)
Feedbacks mais agregadores (2x)</t>
  </si>
  <si>
    <t>Protagonismo (5x)
Obsessão pelo aprendizado (4x)
Visão estratégica (3x)
Postura (2x)
Maturidade (2x)
Liderança (2x)
Expor mais sua opinião (2x)
Senso crítico (2x)
Ir além em suas demandas (2x)</t>
  </si>
  <si>
    <t>Protagonismo (5x)
Postura (4x)
Saber expor incomodos (4x)
Engajamento em momentos informais (3x)
Maturidade (3x)
Responsabilidade coletiva (3x)
Motivação (3x)
Obsessão pelo aprendizado (2x)
Participação (2x)
Expor mais a opinião (2x)</t>
  </si>
  <si>
    <t>Liderança (3x)
Organização (3x)
Visão Estratégica (3x)
Protagonismo (2x)
Feedbacks (2x)
Responsabilidade Coletiva (2x)
Comunicação (2x)</t>
  </si>
  <si>
    <t>Visão Estratégica (4x)
Inteligencia Emocional (3x)
Protagonismo (2x)
Liderança (2x)
Excelência (2x)
Organização (2x)</t>
  </si>
  <si>
    <t>Organização (3x)
Obsessão pelo aprendizado (3x)
Mentalidade do fundador (3x)
Senso crítico (3x)
Protagonismo (2x)
Liderança (2x)
Transparência  (2x)
Excelência (2x)
Inteligência Emocional (2x)</t>
  </si>
  <si>
    <t>Beatriz Félix</t>
  </si>
  <si>
    <t>Miguel Tedim</t>
  </si>
  <si>
    <t>Beatriz Colker</t>
  </si>
  <si>
    <t>Guilherme Aguiar</t>
  </si>
  <si>
    <t>Victor Lameiras</t>
  </si>
  <si>
    <t>João Lucas</t>
  </si>
  <si>
    <t>Rafael Borges</t>
  </si>
  <si>
    <t>Guilherme Andrade</t>
  </si>
  <si>
    <t>Gabriela Roza</t>
  </si>
  <si>
    <t>Vitor Hipólito</t>
  </si>
  <si>
    <t>Participar ativamente e usufruir das atividades internas organizadas por qualquer uma das áreas do Consulting Club</t>
  </si>
  <si>
    <t>Apresentar senso crítico em relação às entregas e opiniões próprias sobre você e os outros membros</t>
  </si>
  <si>
    <t>Buscar sempre ir além em suas atividades de forma criativa</t>
  </si>
  <si>
    <t>Estimular/Gerar momentos de descontração fora do ambiente formal do Clube</t>
  </si>
  <si>
    <t>Estar presente nos momentos de descontração com os membros, prezando pelo convívio além do ambiente formal</t>
  </si>
  <si>
    <t xml:space="preserve">Obsessão Pelo Aprendizado (7x)
Mentalidade de Fundador (5x)
Excelência (5x)
Amizade (5x)
Senso Crítico (4x)
Visão Estratégica (3x)
Feedbacks de qualidade (3x)
Comunicação (3x)
Liderança (2x)
Visão estratégica (2x)
Preocupação com os membros (2x)
Postura (2x)
Protagonismo (2x)
Inteligência Emocional
Humildade
Maturidade
Abertura com os membros
Valoriza Entregas
</t>
  </si>
  <si>
    <t>Obsessão pelo Aprendizado (18x)
Transparência (5x)
Organização (3x)
Mentalidade de Fundador (6x)
Amizade (5x)
Maturidade (2x)
Visão Estratégica (2x)
Postura (4x)
Excelência (5x)
Gestão de Pessoas
Inteligência Emocional
Instigar inovações
Proatividade
Senso Crítico (5x)
Responsabilidade (3x)
Participação
Recepção de feedbacks
Comunicação
Protagonismo</t>
  </si>
  <si>
    <t xml:space="preserve">Amizade (3x)
 Excelência (3x)
Criatividade
Inovação
Protagonismo
Engajamento com o clube
Motivar equipes
Transparência
</t>
  </si>
  <si>
    <t>Responsabilidade coletiva 
Postura
Amizade
Autocrítica
Cuidado com outros
Feedback completos
Consistência
Recepção de Feedbacks
Empenho
Comunicação
Lidr com feedbacks negativos</t>
  </si>
  <si>
    <t>Excelência (11x)
Mentalidade de Fundador (7x)
Criatividade (7x)
Protagonismo (6x)
Senso Crítico (4x)
Amizade (2x)
Liderança (2x)
Proatividade (3x)
Visão Estratégica (2x)
Postura
Responsabilidade coletiva
Obessão pelo Aprendizado (2x)
Transparência
Preocupação com a área</t>
  </si>
  <si>
    <t>Excelência (6x)
Dedicação (6x)
Obsessão pelo Aprendizado (3x)
Comunicação (2x)
Responsabilidade Coletiva
Trabalho em equipe
Proatividade
Qualidade dos feedbacks</t>
  </si>
  <si>
    <t xml:space="preserve">Amizade (9x)
Excelência (5x)
Responsabilidade Coletiva (4x)
Dedicação (4x)
Transparência (3x)
Criatividade (2x)
Recepção de Feedbacks (2x)
Proatividade
Feedbacks completos
Participar de outrasa demandas
Obsessão pelo Aprendizado
Qualidade dos feedbacks
Participação
Constância
</t>
  </si>
  <si>
    <t>Senso crítico (10x)
Mentalidade do fundador (7x)
Amizade (6x)
Transparência (5x)
Protagonismo (5x)
Excelência (5x)
Proatividade (5x)
Maturidade (3x)
Visão Estratégica (3x)
Inovação (2x)
Desenvolver outros membros (2x)
Exposição das opiniões
Responsabilidade Coletiva
Ir além nas demandas
Questionador
Gestão de Pessoas
Envolvimento com outras Demandas
Feedbacks de qualidade
Comunicação
Participação
Liderança</t>
  </si>
  <si>
    <t>Excelência (10x)
Obsessão pelo Aprendizado (6x)
Amizade (6x)
Participação (4x)
Protagonismo (3x)
Dedicação (3x)
Maturidade (3x)
Motivação (2x)
Proatividade (2x)
Transparência (2x)
Recepção de Feedbacks
Humildade
Responsabilidade Coletiva
Organização</t>
  </si>
  <si>
    <t>Transparência (4x)
Amizade (4x)
Senso Crítico (4x)
Obsessão pelo Aprendizado (3x)
Excelência (3x)
Responsabilidade Coletiva (2x)
Receber Feedbacks (2x)
Confiança (2x)
Comunicação
Inteligência Emocional</t>
  </si>
  <si>
    <t>Excelência (3x)
Amizade (3x)
Postura (2x)
Inteligência Emocional (2x)
Comunicação (2x)
Senso crítico (2x)
Obsessão pelo Aprendizado (2x)
Gestão de pessoas
Responsabilidade
Questionar tudo 
Transparência
Criatividade
Senso Crítico
Protagonismo</t>
  </si>
  <si>
    <t>Obsessão pelo aprendizado (4x)
Excelência (3x)
Busca feedbacks
Receptividade a feedbacks
Assumir erros
Esforço
Amizade
Constância
Proatividade
Postura
Transparência
Organização
Maturidade
Resposabilidade Coletiva
Participar de outras demandas (2x)
Humildade
Vontade de entregar com Excelencia
Pensar sobre a área</t>
  </si>
  <si>
    <t xml:space="preserve">Amizade (6x)
Transparência (4x)
Obsessão pelo aprendizado (2x)
Opinativa (2x)
Comunicação
Criatividade
Valorizar bons resultados
Organização
Direto ao ponto
Empenho
</t>
  </si>
  <si>
    <t>Excelência (8x)
Responsabilidade Coletiva (5x)
Amizade (4x)
Dedicação (3x)
Senso Crítico (3x)
Transparência (2x)
Postura (2x)
Maturidade (2x)
Ir além nas entregas (2x)
Visão estratégica (2x)
Organização (2x)
Inteligência Emocional
Constância 
Liderança
Maturidade</t>
  </si>
  <si>
    <t>Excelência (5x)
Obsessão pelo aprendizado (5x)
Senso crítico (4x)
Visão Estratégica (4x)
Responsabilidade (3x)
Organização (3x)
Protagonismo
Transparência
Postura
Proatividade
Dedicação
Liderança
Amizade
Maturidade
Mentalidade de Fundador
Preocupação com os membros
Responsanbilidade Coletiva
Saber reconhecer erros</t>
  </si>
  <si>
    <t xml:space="preserve">
Excelência (4x)
Senso Crítico (3x)
Amizade (3x)
Responsabilidade Coletiva (2x)
Proatividade (2x)
Engajamento (2x)
Responsabilidade (2x)
Gestão de Pessoas
Visão Estratégica
Obessão pelo Aprendizado
Mentalidade de Fundador
Maturidade
Transparência
Receber Feedbacks
Postura
Organização</t>
  </si>
  <si>
    <t xml:space="preserve">Obsessão Pelo aprendizado (8x)
Amizade (6x)
Presença em outras demandas (4x)
Protagonismo (4x)
Responsabilidade Coletiva (3x)
Senso Crítico (3x)
Visão estratégica (2x)
Mentalidade de Fundador (2x)
Ouvir opiniões contrárias
Transparência
Esforço
Maturidade
Motivação
Constância
 Proatividade
Organização
</t>
  </si>
  <si>
    <t>Amizade  (8x)
Excelência (7x)
Senso Crítico  (5x)
Constância  (3x)
Responsabilidade coletiva (2x)
Transparência  (2x)
Gestão de Pessoas  (2x)
Inteligência Emocional  (2x)
Humildade (2x)
Postura
Saber ouvir
Maturidade
Dedicação
Protagonismo
Liderança
Visão Estratégica</t>
  </si>
  <si>
    <t>Excelência (11x)
Senso Crítico (6x)
Transparência (5x)
Responsabilidade Coletiva (4x)
Feedbacks Construtivos (4x)
Postura (3x)
Amizade (2x)
Maturidade
Obsessão pelo Aprendizado
Autocrítica
Visão Estratégica
Protagonismo
Constância</t>
  </si>
  <si>
    <t xml:space="preserve">Senso crítico (3x)
Obsessão pelo aprendizado (2x)
Feedbacks de qualidade (2x)
Amizade (3x)
Excelência (3x)
Organização
Mentalidade
Engajamento
Resposabilidade
Participação
Transparência
Protagonismo
Postura
</t>
  </si>
  <si>
    <t xml:space="preserve">Obsessão Pelo Aprendizado (5x)
Senso Crítico (4x)
Excelência (5x)
Amizade (4x)
Responsabilidade Coletiva (3x)
Qualidade dos feedbacks (2x)
Preocupação com desenvolvimento dos membros (2x)
Transparência
Responsabilidade
Visão Estratégica
Postura
Participação
Humildade
Confiança
Senso Crítico
Inteligência emocional
Maturidade
Proatividade
Questionar tudo
</t>
  </si>
  <si>
    <t>Amizade (7x)
Excelência (6x)
Criatividade (4x)
Protagonismo (3x)
Senso Crítico (2x)
Transparência (2x)
Gestão de pessoas (2x)
Obsessão pelo Aprendizado (2x)
Liderança
Comunicação
Responsabilidade coletiva
Proatividade
Mentalidade de Fundador</t>
  </si>
  <si>
    <t xml:space="preserve">Comunicação (6x)
Transparência (6x)
Presença em outras áreas (3x)
Saber ouvir (2x)
Organização (2x)
Inteligência Emocional (2x)
Senso de Urgência
Impulsivo
Woraholic (saber dividir)
Constância
Atenção 100% do tempo
Antecipar Problemas
</t>
  </si>
  <si>
    <t xml:space="preserve">Comunicação (Tom de fala) (6x)
Proximidade (5x)
Transparência (5x)
Inteligência Emocional (3x)
Se envolver com mais demandas (3x)
Ouvir Mais (3x)
Temperamento (2x)
Frequencia de feedbacks (2x)
Questionar mais
Preocupação com o emocional
Responsabilidade Coletiva
Acompanhamento de demandas importantes
Senso de Urgência
Gestão de Pessoas
Proatividade
Inovação
</t>
  </si>
  <si>
    <t xml:space="preserve">Obssessão pelo aprendizado (3x)
 Liderança (3x)
Passividade em discussões (2x)
Senso Crítico (2x)
Agressividade na fala
Postura
Comunicação
Autocrítica
Visão Estratégica
Criatividde
Lidar com feedbacks contrários
Protagonismo
</t>
  </si>
  <si>
    <t xml:space="preserve"> Excelência (3x)
Amizade (3x)
Motivação (2x)
Comunicação (2x)
Protagonismo (2x)
Feedbacks mais completos (2x)
Visão Estratégica
Obsessão pelo aprendizado 
Conhecimento alem das demandas
Liderança
Ouvir feedbacks
Senso Crítico
Emitir mais opinião
</t>
  </si>
  <si>
    <t xml:space="preserve">Recepção de Feedbacks (7x)
Gestão de Pessoas (5x)
Feedbacks Completos (4x)
Presença no clube (4x)
Amizade (4x)
Ouvir opiniões divergentes (5x)
Obsessão pelo Aprendizado (3x)
Tato em discussões (2x)
Comunicação (prolixo) (4x)
Responsabilidade Coletiva
Senso Crítico
Postura
Maturidade
Proximidade com os membros
Inteligência Emocional
Liderança
</t>
  </si>
  <si>
    <t>Receber Feedbacks (7x)
Inteligência Emocional (7x)
Maturidade (4x)
Amizade (3x)
Postura 3(x)
Diferenciar momentos de descontração e sérios (2x)
Transparência (2x)
Senso crítico (2x)
Autocrítica
Qualidade dos feedbacks
Engajamento com demandas de outras áreas</t>
  </si>
  <si>
    <t>Postura (8x)
Comunicação (7x)
Senso crítico (5x)
Maturidade (4x)
Organização (5x)
Transparência (2x)
Obsessão pelo aprendizado (2x)
Visão Estratégica (2x)
Protagonismo (2x)
Inteligência Emocional
Feedbacks construtivos
Responsabilidade Coletiva</t>
  </si>
  <si>
    <t>Obessão pelo Aprendizado (9x)
Amizade (4x)
Inteligência Emocional (4x)
Feedbacks mais completos (4x)
Presença de outras demandas do clube (4x)
Aceitar opiniões externas (3x)
Comunicação (3x)
Tom dos feedbacks (2x)
Demora pra responder
Excelência
Respeitoso
Ir além das responsabilidades
Proximidade
Postura
Impulsividade
Gestão de Pessoas
Organização
Transparência
Ouvir mais
Ser exemplo</t>
  </si>
  <si>
    <t>Comunicação (5x)
Impulsividade (4x)
Responsabilidade Coletiva (3x)
Desenvolver outros membros  (2x)
Postura (2x)
Maturidade (2x)
Saber expor feedbacks (2x)
Liderança (2x)
Qualidade dos feedbacks
Saber receber feedbacks
Euforico
Criatividade
Organização
Inteligência Emocional</t>
  </si>
  <si>
    <t>Postura (5x)
Dedicação (4x)
Organização (4x)
Protagonismo (4x)
Feedbacks (3x)
Amizade (3x)
Responsabilidade coletiva (3x)
Comunicação (3x)
Participação (3x)
Recepção de Feedbacks (2x)
Excelência (2x)
Obsessão pelo Aprendizado (2x)
Maturidade
Humildade
Constância
Mentalidade de fundador</t>
  </si>
  <si>
    <t>Prolixo  (4x)
Recepção a feedbacks (3x)
Responsabilidade Coletiva (2x)
Transparência (2x)
Amizade (2x)
Participação em eventos do clube (2x)
Organização (2x)
Visão estratégica do clube
Trabalhar mesmo sem motivação
Responsabilidade Coletiva
Motivação com demandas
Motivar outros
Inteligência Emocional
Se  preocupar com desenvolvimento de membros</t>
  </si>
  <si>
    <t>Comunicação (5x)
Cofiança (4x)
Senso Crítico (2x)
Feedbacks mais completo (3x)
Inteligência Emocional
Motivar outros
Timidez
Participação em momentos de descontração
Visão Estratégica
Excelência
Postura
Protagonismo
Constância
Transparência (2x)</t>
  </si>
  <si>
    <t xml:space="preserve">Receptividade a Feedbacks Negativos (6x)
Excelência (5x)
Comunicação (5x)
Inteligência emocional (3x)
Visão estratégica (2x)
Participar de outras demandas (2x)
Responsabilidade Coletiva (2x)
Humildade
Organização
Senso crítico
Corrigir feedbacks
Feedbacks de qualidade
Didática
Protagonismo
Postura
</t>
  </si>
  <si>
    <t>Feedbacks desenvolvedores (4x)
Obsessão pelo Aprendizado (4x)
Amizade (3x)
Comunicação (3x)
Inteligência Emocional (2x)
Participação
Receptividade a opiniões contrárias
Explosiva
Transparecer motivação
Ingenuidade
Gestão de Pessoas
Teimosia
Criatividade</t>
  </si>
  <si>
    <t>Inteligência Emocional (4x)
Saber motivar equipes (3x)
Desenvolver os membros
Participar de outras demandas
Transparecer menos nervosismo
Confiança
Proatividade
Questionar mais
Comunicação
Amizade
Didática
Transparência (3x)</t>
  </si>
  <si>
    <t xml:space="preserve">
Obsessão pelo Aprendizado (3x)
Protagonismo (2x)
Timidez (2x)
Questionadora (2x)
Interesse em outras Demandas
Engajar outros
Confiança
Participação
Comunicação
Ser exemplo
Gestão de Pessoas
Criatividade
Visão estratégica
Mentalidade de Fundador</t>
  </si>
  <si>
    <t>Liderança (6x)
Transparência (5x)
Excelência (4x)
Senso Crítico (3x)
Responsabilidade Coletiva (2x)
Dedicação (2x)
Constância (2x)
Amizade (2x)
Qualidade dos feedbacks (2x)
Protagonismo (2x)
Proatividade
Postura
Autocrítica
Comunicação
Ouvir opiniões contrárias
Humildade
Maturidade</t>
  </si>
  <si>
    <t>Obsessão pelo Aprendizado (9x)
Participação (7x)
Protagonismo (4x)
Criatividade (3x)
Feedbacks mais construtivos (2x)
Proatividade
Participação em eventos fora da faculdade
Comunicação
Senso Crítico
Algo a mais nas entregas
Mentalidade de Fundador</t>
  </si>
  <si>
    <t>Comunicação (tom da fala) (6x)
Obsessão pelo Aprendizado (5x)
Amizade (3x)
Postura nas discussões (4x)
Responsabilidade Coletiva (nas outras demandas) (2x)
Criatividade (2x)
Motivar a equipe (2x)
Participação (2x)
Protagonismo (2x)
Autocrítica
Recepção de Feedbacks
Teimosia
Temperamento</t>
  </si>
  <si>
    <t>Postura (3x)
Visão Estratégica (2x)
Excelência
Transparência 
Constancia
Maturidade
Estressado
Protagonismo
Motivar outros
Liderança
Comunicaçao
Didática
Postura em discussões</t>
  </si>
  <si>
    <t xml:space="preserve">Inteligencia Emocional (4x)
Organização (3x)
Confiança
Transparência (3x)
Liderança (2x)
Comunicação (2x)
Motivar outros
Incetivar momentos de descontração
Proatividade
Postura
Senso de Urgência
Amizade
Protagonismo (2x)
</t>
  </si>
  <si>
    <t>Participação nas atividades do clube (3x)
Protagonismo (3x)
Feedbacks construtivos (3x)
Maturidade (2x)
Recepção de feedbacks (2x)
Motivação (2x)
Comunicação (2x)
Proatividade
Obsessão pelo Aprendizado
Amizade
Inteligência emocional
Postura
Constância</t>
  </si>
  <si>
    <t>Guilherme Adayme</t>
  </si>
  <si>
    <t>Vitor Hipolito</t>
  </si>
  <si>
    <t>Guilherme Barroso</t>
  </si>
  <si>
    <t>Miguel Thedim</t>
  </si>
  <si>
    <t>Carolina Palatinsky</t>
  </si>
  <si>
    <t>Bernardo Albuquerque</t>
  </si>
  <si>
    <t>Matheus Braga</t>
  </si>
  <si>
    <t>Newton Bruno</t>
  </si>
  <si>
    <t>Felipe Lavaquial</t>
  </si>
  <si>
    <t>Matheus Lacerda</t>
  </si>
  <si>
    <t>LuÍsa Vasques</t>
  </si>
  <si>
    <t>Demonstrou procurar ativamente formas de aprender com a demanda</t>
  </si>
  <si>
    <t>Apresentar senso crítico em relação às entregas e opiniões próprias sobre os membros com os quais trabalha</t>
  </si>
  <si>
    <t xml:space="preserve">Estar sempre questionando e desenvolvendo iniciativas inovadoras e melhorias em suas demandas
</t>
  </si>
  <si>
    <t>Ser confiante e proativo para tomar iniciativa de resolver problemas e tomar responsabilidades para si</t>
  </si>
  <si>
    <t>Busca os outros membros do clube visando aprofundar suas relações de amizade</t>
  </si>
  <si>
    <t>Entender a melhor forma para dar feedbacks e transparecer suas observações pertinentes para o desenvolvimento de outros membros</t>
  </si>
  <si>
    <t>Ter a humildade de assumir a culpa e reconhecer os erros/problemas e quando outras alternativas são mais pertinentes</t>
  </si>
  <si>
    <t xml:space="preserve">Preocupar-se com a qualidade da demanda, dando feedbacks completos nas entregas
</t>
  </si>
  <si>
    <t>Obsessão pelo aprendizado (x10)
Senso Crítico (x8)
Amizade (x6)
Postura (x3)
Gestão de Pessoas (x2)
Mentalidade de Fundador (x3)
Excelência (x3)
Engajamento (x2)
Transparencia (x2)
Aberto para ajudar membros
Qualidade dos feedbacks
Visão de Clube
Inteligencia Emocional
Feedbacks
Motivação
Realista
Participação em eventos do clube
Organização
Inteligência Emocional
Proximidade dos membros
Visão Estratégica
Comunicação
Maturidade (x2)
Sensato</t>
  </si>
  <si>
    <t xml:space="preserve">Amizade (x8)
Postura (x4)
Senso crítico (x6)
Visão Estratégica (x4) 
Protagonismo (x3)
Excelência (x4)
Transparência (x2)
Inteligência Emocional (x3)
Responsabilidade (x2)
Ajuda muito membros quando necessitam
Desenvolvimento dos membros e clube
Organização
Responsabilidade Coletiva
Pensamento Estratégico
Receptividades a feedbacks
Comunicação
Liderança
Inovação
Tato com Pessoas
Engajamento
Carisma
Seriedade
Gestão de pessoas
</t>
  </si>
  <si>
    <t>Senso Crítico (x7)
Amizade (x4)
Visão Estratégica (x2)
Mentalidade de Fundador (x4)
Obsessão pelo aprendizado (x6)
Protagonismo (x2)
Excelência (x4)
Transparência
Senso de Clube
Comunicação
Participação nos momentos de clube (x2)
Responsabilidade Coletiva (x2)
Feedbacks nas entregas
Questionadora
Inovação
Gestão de pessoas</t>
  </si>
  <si>
    <t>Comunicação (x4)
Excelência (x4)
Maturidade  (x3)
Postura (x2)
Qualidade nas entregas
Amizade
Feedbacks
Constância
Obsessão pelo Aprendizado (x2)
Feedbacks nas entregas
Senso Crítico (x3)
Autocrítica
Protaonismo
Inovação nas entregas</t>
  </si>
  <si>
    <t>Senso Crítico (x5)
Excelência (x4)
Obsessão pelo Aprendizado (x4)
Visão estratégica (x2)
Organização
Transparência (x2)
Participação nas atividades do clube
Responsabilidade Coletiva
Qualidade nas entregas
Pensar em formas de melhorar o clube
Amizade
Presença em momentos de descontração</t>
  </si>
  <si>
    <t>Excelencia (x2)
Amizade (x6)
Transparência (x5)
Sabe diferenciar momentos de descontração
Confiança</t>
  </si>
  <si>
    <t xml:space="preserve">
Responsabilidade Coletiva (x3)
Receptividade para feedbacks (x2)
Dedicação (x2)
Amizade (x2)
Busca por feedbacks
Pensar constantemente em problemas
Proatividade
Obsessão pelo aprendizado
Pensamento crítico
Autocrítica
Saber ouvir outros pontos
Preocupado com o desenvolvimento de outros membros</t>
  </si>
  <si>
    <t>Excelência (x8)
Responsabilidade coletiva (x8)
Constância e Qualidade de Feedbacks (x3)
Protagonismo (x2)
Transparência (x2)
Receptividade a Feedbacks (x2)
Visão Estratégica (x2)
Proatividade
Obsessão pelo Aprendizado 
Participaçao em outras demandas
Criatividade
Dedicação
Motivação
Constância
Questionador
Criatividade
Amizade
Organização</t>
  </si>
  <si>
    <t>Excelência (x11)
Amizade (x5)
Comunição (x3)
Constância (x2)
Responsabilidade Coletiva (x2)
Pensamento Crítico
Desenvolver membros
Organização
Obsessão pelo Aprendizado
Confiança
Criatividade
Liderança
Proatividade
Engajamento
Visão de clube
Participatividade</t>
  </si>
  <si>
    <t>Excelência (x7)
Amizade (x3)
Obsessão pelo aprendizado (x2)
Comunicação (x2)
Liderança (x2)
Desenvolver membros
Responsabilidade coletiva dentro da demanda
Dedicação
Organização
Criatividade
Protagonismo
Qualidade nas entregas</t>
  </si>
  <si>
    <t>Excelência (x9)
Amizade (x8)
Liderança (x4)
Transparência (x4)
Protagonismo (x4)
Senso Crítico (x3)
Gestão de Pessoas (x2)
Comunicação (x2)
Pensamento crítico
Criatividade
Obsessão pelo Aprendizado
Proatividade
Responsabilidade Coletiva
Postura 
Maturidade
Organização
Qualidade de feedbacks
Inovação
Questionador
Constância
Visão Estratégica</t>
  </si>
  <si>
    <t>Excelência (x14)
Amizade (x10)
Senso Crítico (x7)
Proatividade (x4)
Protagonismo (x3)
Receptividade de Feedbacks (x3)
Organização (x3)
Transparência (x2)
Preocupação em desenvolver membros (x2)
Comunicação (x2)
Motivação e engajamento (x2)
Brilho nos olhos
Participação em outras demandas
Responsabilidade Coletiva
Postura
Constância
Mentalidade do fundador</t>
  </si>
  <si>
    <t>Amizade (x10)
Receptividade a Feedbacks (x2)
Protagonismo (x2)
Excelencia
Desenvolver outros membros
Obsessão pelo Aprendizado
Esforço nas entregas
Proatividade
Dedicação
Engajamento
Senso Crítico
Participação
Motivação
Responsabilidade Coletiva
Assume algumas responsabilidades quando necessário</t>
  </si>
  <si>
    <t>Amizade (x12)
Responsabilidade Coletiva (x7)
Transparência (x7)
Protagonismo (x5)
Senso Crítico (x2)
Excelência (x2)
Proatividade (x2)
Gestão de Pessoas (x4)
Participação em outras áreas (x2)
Liderança
Visão Estratégica
Esforço
Excelência
Constância
Receptividade a feedbacks
Sentimento de Clube
Comunicação
Feedbacks desenvolvedores
Humildade</t>
  </si>
  <si>
    <t>Amizade (x11)
Senso crítico (x3)
Responsabilidade Coletiva (x3)
Organização (x2)
Criatividade (x2)
Participação em reuniões
Receptividade de feedbacks
Proatividade
Esforço nas entregas
Protagonismo
Obsessão pelo Aprendizado
Responsabilidade
Pensamento Analítico
Inteligência emocional
Excelência</t>
  </si>
  <si>
    <t>Excelência (x8)
Feedbacks (x9)
Visão Estratégica (x5)
Senso Crítico (x6)
Postura (x2)
Inovação (x2)
Sentimento de clube
Desenvolver membros
Receptividade de feedbacks
Protagonismo
Liderança 
Constância
Organização
Motivar Pessoas
Humildade
Comunicação
Questionador</t>
  </si>
  <si>
    <t xml:space="preserve">Amizade (x11)
Transparência (x2)
Proatividade (x2)
Receptividade a Feedbacks (x2)
Protagosnismo (x2)
Dedicação (x2)
Excelencia
Feedbacks 
Pensamento crítico
Participação dentro da área
Participação em eventos no clube
Motivação
Engajamento
Comunicação
</t>
  </si>
  <si>
    <t>Amizade (x11)
Excelência (x8)
Feedbacks (x5)
Protagonismo (x4)
Obsessão pelo Aprendizado (x4) 
Visão de Clube (x3)
Senso Crítico (x4)
Participação em momentos de clube (x3)
Responsabilidade Coletiva (x3)
Liderança (x2)
Mentalidade de Fundador (x2)
Gestão de Pessoas (x2)
Pensamento crítico
Desenvovimento de membros
Senso Estratégico
Comunicação
Constância
Responsabilidade
Questionador
Proatividade
Feedbacks desenvolvedores
Participação em outras demandas
Transparência
Organização</t>
  </si>
  <si>
    <t>Gestão de Pessoas (x4)
Excelência (x5)
Senso Crítico (x4)
Qualidade de Feedbacks (X3)
Responsabilidade Coletiva (x4)
Postura (x3)
Gestão de Entregas (x2)
Inovação (x2)
Dedicação
Transparência
Disposição para ajudar
Amizade 
Organização
Visão Estratégica
Liderança
Comunicação
Compreensão
Resolução de problemas
Mentalidade do fundador</t>
  </si>
  <si>
    <t>Amizade (x2)
Criatividade (x2)
Liderança
Receptividade de feedbacks
Busca por Desenvolvimento
Receptividade a Feedbacks
Comunicação</t>
  </si>
  <si>
    <t>Postura (x3)
Excelência (x3)
Liderança
Feedbacks
Obsessão pelo Aprendizado
Organização
Senso Crítico
Constância</t>
  </si>
  <si>
    <t xml:space="preserve">Comunicaçao
Receptividade a Feedbacks (x2)
Busca por Desenvolvimento
Sabe reconhecer erros
</t>
  </si>
  <si>
    <t>Transparência (x5)
Contato com Membros (x5)
Comunicação (x3)
Cabeça dura (x2)
Tom (x2)
Responsabilidade Coletiva (x2)
Motivar os outros
Gestão de membros
Mediar discussões
Inteligência emocional (x4)
Saber ouvir
Protagonismo
Organização (x2)
Participação em Discussões
Postura
Tato (na hora de falar e dar feedbacks) (x3)
Frequencia de feedbacks
Estar próximo das demandas (x2)
Inovação        
Paciência
Reflexão antes de pensamentos incisivos</t>
  </si>
  <si>
    <t>Obsessão Pelo Aprendizado (x8)
Participação nas demandas do clube (x6)
Transparência (x4)
Protagonismo
Contato com os membros (x5)
Cobrar mais (x2)
Organização (x3)
Responsabilidade Coletiva (x2)
Ser mais crítico
Amizade
Inovação
Constancia de feedbacks
Gestão de pessoas
Tato nos feedbacks
Presença nas demandas
Vício de linguagem</t>
  </si>
  <si>
    <t>Gestão de Pessoas (x4)
Feedbacks (x3)
Receptividade a críticas (x3)
Inteligência Emocional (x4)
Motivar a equipe
Comunicação (x2)
Protagonismo
Organização
Transparência (x2)
Participação em momentos de descontração
Postura
Responsabilidade Coletiva
Tom em feedbacks
Cobrar mais as pessoas</t>
  </si>
  <si>
    <t>Protagonismo (x6)
Amizade (x3)
Senso Crítico (x3)
Participação em outras demandas e em outras áreas (x3)
Visão Estratégica (x2)
Feedbacks no privado
Engajamento
Liderança
Senso de Urgência
Frequência de feedbacks
Participação em discussões
Responsabilidade
Organização
Mentalidade do fundador</t>
  </si>
  <si>
    <t>Motivar equipe (3x)
Comunicação (x3)
Inovação nas entregas (x2)
Mentalidade do fundador
Organização (x2)
Inteligência emocional (x2)
Gestão de pessoas (x2)
Desenvolver mais os membros por meio de feedbacks
Criar relação mais empática com os membros
Protagonismo
Responsabilidade Coletiva
Frequencia de feedbacks
Participar de outras demandas
Reação por impulso
Constância
Pistola
Tato na comunicação
Amizade</t>
  </si>
  <si>
    <t>Protagonismo (x3)
Obsessão pelo aprendizado (x3)
Tom de feedbacks
Postura
Prolixa
Organização
Sair da zona de conforto
Arrogância
Receptividade de feedbacks
Feedbacks no privado
Transparencia
Estruturar feedbacks
Planejamento e organização
Respeitar alinhamentos
Visão estratégica
Senso crítico
Inteligência emocional
Pensar em formas de melhorar o clube</t>
  </si>
  <si>
    <t>Confiança (x6)
Comunicação (x5)
Ser mais protagonista (x2)
Motivar as pessoas
Transparência (x2)
Mentalidade do fundador
Maturidade
Inteligência emocional
Pensar em soluções
Senso de clube
Pensar mais fora da Caixa
Participação em reuniões
Amizade
Excelência
Inovação</t>
  </si>
  <si>
    <t>Obsessão pelo aprendizado (x6)
Comunicação (x5)
Protagonismo (x3)
Constancia (x3)
Inteligência Emocional (x2)
Organização (x2)
Pensamento crítico
Criatividade
Amizade
Atuar mais em momentos mais estratégicos do clube (x2)
Senso Crítico
Prolixo
Liderança
Questionar Construtivamente
Proposição de soluções práticas
Motivar as pessoas
Maturidade
Foco
Confiança</t>
  </si>
  <si>
    <t>Protagonismo (x6)
Obsessão pelo Aprendizado (x3)
Transparência (x3)
Responsabilidade Coletiva (x3)
Receptividade a feedbacks (x3)
Feedbacks mais frequentes (x2)
Inovação (x2)
Criatividade (x2)
Tom (x2)
Gestão de Pessoas (x2)
Inteligência Emocional
Mentalidade de fundador
Liderança
Autoavaliação
Postura
Senso Crítico
Participação em reuniões
Visão Estratégica
Organização
Humildade
Proatividade</t>
  </si>
  <si>
    <t xml:space="preserve">Amizade (x7)
Participação no Clube (x4)
Responsabilidade Coletiva (x4)
Protagonismo (x4)
Feedbacks (x3)
Proatividade (x3)
Inteligência Emocional (x2)
Postura (x2)
Proximidade com os membros (x2)
Visão Estratégica (x2)
Engajamento
Transparência
Criatividade
Gestão de Pessoas
Obsessão pelo Aprendizado
Receptividade a Feedbacks
Senso Crítico
Frequencia de Feedbacks
Motivar Equipes
Mentalidade de Fundador
Receptividade a Feedbacks
Preocupação com o desenvolvimento dos membros        </t>
  </si>
  <si>
    <t xml:space="preserve">Obsessão pelo Aprendizado (x4)
Cabeça dura (x3)
Participação em outras demandas (x3)
Frequência de feedbacks (x3)
Receptividade a feedbacks (x3)
Responsabilidade Coletiva (x2)
Autocrítica
Senso Crítico
Protagonismo
Prolixo
Profundidade de feedbacks
Senso de Urgência
Responsabilidade
Inteligência Emocional
Participação em outras demandas
</t>
  </si>
  <si>
    <t>Obsessão pelo aprendizado (x7)
Frequencia de Feedbacks (x4)
Responsabilidade Coletiva (x3)
Visão Estratégica (x2)
Confiança (x2)
Liderança (x2)
Transparência (x2)
Participação em reuniões (x2)
Participação em capacitações e em outras demandas (x2)
Pensamento crítico nas demandas que não faz parte
Feedbacks Desenvolvedores
Inteligencia Emocional (x2)
Foco no desenvolvimento dos outros membros
Flexibilidade de opiniões
Feedbacks
Visão crítica sobre os membros
Gestão de Pessoas
Mentalidade de Fundador
Comunicação
Conciliar CC e faculdade</t>
  </si>
  <si>
    <t xml:space="preserve">Excelência (x9)
Responsabilidade Coletiva (x5)
Postura (x3)
Maturidade (x3)
Organização (x3)
Obsessão pelo Aprendizado (x3)
Senso crítico (x3)
Transparência (x2)
Feedbacks (x2)
Comprometimento
Prazos
Comunicação
Argumentação
Inovação
Visão Estratégica
Frequência de feedbacks
Pensamento crítico
Visão Estratégica
Protagonismo
Comunicação
</t>
  </si>
  <si>
    <t>Postura (x5)
Excelência (x5)
Organização (x4)
Obsessão pelo Aprendizado (x2)
Comunicação (x2)
Proatividade
Linearidade de Fala
Prazos
Confiança
Tom de fala
Preparação para reuniões
Motivação
Constância
Protagonismo
Foco
Participar de Discussões
Eficiencia em Reuniões
Inovação
Conciliar CC com faculdade</t>
  </si>
  <si>
    <t>Postura (x6)
Obsessão pelo Aprendizado (x4)
Feedbacks (x4)
Comunicação (x3)
Pensamento crítico (x2)
Liderança (x2)
Responsabilidade Coletiva (x2)
Participação em outras demandas
Receptividade a feedbacks
Cuidado com as entregas
Visão Estratégica
Protagonismo
Frequência de Feedbacks
Linearidade de fala e raciocínio
Tom
Diferenciar momentos de seriedade e momentos de resenha
Maturidade
Excelência
Transparência
Protagonismo
Inovação</t>
  </si>
  <si>
    <t xml:space="preserve">Gestão de Pessoas (x5)
Obsessão Pelo aprendizado (x5)
Amizade (x4)
Organização (x3)
Acompanhamento de Demandas (x3)
Responsabilidade Coletiva (x3)
Tom (x2)
Maior abertura (x2)
Participação em momentos de clube (x2)
Tom dos feedbacks (x2)
Postura em discussões (x3)
Cabeça dura (x2)
Frequência de feedbacks
Enxergar mais pontos positivos
Equilibrar o tempo com faculdade
Transparência
Protagonismo
Temperamento
</t>
  </si>
  <si>
    <t xml:space="preserve">Excelência (x9)
Postura (x8)
Maturidade (x3)
Senso Crítico (x3)
Obsessão pelo Aprendizado (x2)
Criatividade (x2)
Responsabilidade Coletiva (x2)
Participação em outras demandas (x2)
Comunicação (x2)
Feedback em entregas
Comprometimento
Dedicação
Respeito
Responsabilidade
Pensamento crítico sobre o clube
Frequencia de feedbacks
Visão Estratégica
Maturidade
Proatividade
Transparência                
</t>
  </si>
  <si>
    <t xml:space="preserve">Organização (x3)
Inteligência Emocional (x3)
Comunicação (x3)
Postura (x2)
Tom (x2)
Prolixo (x2)
Participação em outras demandas (x2)
Mais tempo para atividades pessoais (x2)
Planejamento
Obsessão pelo Aprendizado
Ser mais crítico
Frequência de feedbacks
Abrir mais espaço para que outros membros agreguem nas discussões
Diferenciar momentos de descontração        </t>
  </si>
  <si>
    <t xml:space="preserve">Obsessão pelo Aprendizado (x3)
Participação em questões fora da área (x2)
Prolixa (x4)
Deixar as coisas institucionalizadas (2x)
Quantidade e Qualidade dos feedbacks (2x)
Responsabilidade Coletiva 
Inovação
Receptividade a Críticas
Conversas individuais com membros da área
Se comunicar com clareza
Transparência
Inteligência emocional
Sentimento de clube
Ansiosidade
Protagonismo
Tom em discussões (x2)
Visão de fora da área
Participação em discussões
</t>
  </si>
  <si>
    <t xml:space="preserve">Excelência (x3)
Feedbacks desenvolvedores
Teimosia
Visão estratégica
Organização
Responsabilidade Coletiva
Postura
Senso Crítico
Protagonismo
</t>
  </si>
  <si>
    <t>Amizade (x3)
Responsabilidade Coletiva (x2)
Visão Estratégica
Feedbacks
Participação em outras demandas
Transparência</t>
  </si>
  <si>
    <t>Excelência (x2)
Organização (x2)
Amizade (x2)
Visão Estratégica
Mentalidade de Fundador
Constância
Participação em outras demandas
Protagonismo
Inovação
Timidez
Senso Crítico
Feedbacks
Proximidade com membros
Participação em Discussões</t>
  </si>
  <si>
    <t>Ana Catarina Heimlich</t>
  </si>
  <si>
    <t>Luana Bacelar</t>
  </si>
  <si>
    <t>Luísa Vasques</t>
  </si>
  <si>
    <t>Maria Luisa Chambers</t>
  </si>
  <si>
    <t>Igor Vianna</t>
  </si>
  <si>
    <t>Mariana Retumba</t>
  </si>
  <si>
    <t>Gabriela Lopes</t>
  </si>
  <si>
    <t>Júlia Chuff</t>
  </si>
  <si>
    <t>Luisa Lima</t>
  </si>
  <si>
    <t>Laila Mannheimer, Rafael Borges, Luísa Vasques, Matheus Braga, Matheus Lacerda, Miguel Thedim, Newton Bruno, Victor Lameiras, Carolina Palatinsky, Beatriz Félix, Bernardo Albuquerque, Felipe Lavaquial, Guilherme Adayme, Guilherme Aguiar, Guilherme Barroso, Vitor Hipolito</t>
  </si>
  <si>
    <t>Busca ativamente por feedbacks e maneiras de deixar suas entregas melhores</t>
  </si>
  <si>
    <t>Estar sempre questionando e desenvolvendo iniciativas inovadoras e melhorias em suas demandas</t>
  </si>
  <si>
    <t xml:space="preserve">Preocupar-se com a qualidade da demanda, dando feedbacks completos nas entregas
</t>
  </si>
  <si>
    <t>- Obsessão pelo aprendizado (16x)
- Visão estratégica (7x)
- Senso crítico (7x)
- Comunicação (7x)
- Mentalidade de Fundador (7x)
- Excelência (7x)
- Postura (5x)
- Amizade (5x)
- Liderança (4x)
- Protagonismo (4x)
- Participação em discussões/capacitações (4x)
- Organização (2x)
- Qualidade dos feedbacks (2x)
- Calma em situações de pressão (1x)
- Constância (1x)
- Responsabilidade coletiva (1x)
- Questionadora (1x)</t>
  </si>
  <si>
    <t>- Excelência (14x)
- Qualidade dos feedbacks (9x)
- Contato com os membros / Amizade (9x)
- Senso crítico (8x)
- Postura (7x)
- Gestão de equipes/demandas (6x)
- Criatividade / Inovação (4x)
- Protagonismo (4x)
- Transparência (3x)
- Visão estratégica (3x)
- Liderança (2x)
- Responsabilidade coletiva (2x)
- Mentalidade de Fundador (2x)
- Maturidade (2x) 
- Obsessão pelo aprendizado (1x)
- Comunicação (1x)
- Constância (1x)
- Mediar discussões (1x)
- Receptividade a feedbacks (1x)</t>
  </si>
  <si>
    <t>- Excelência (14x)
- Organização (10x)
- Protagonismo (5x)
- Feedbacks (5x)
- Criatividade/inovação (4x)
- Pensamento estratégico (4x)
- Transparência (3x)
- Comunicação (2x)
- Busca por desenvolvimento (2x)
- Senso crítico (2x)
- Constância (2x)
- Responsabilidade coletiva (2x)
- Gestão de pessoas (1x)
- Participatividade em outras demandas (1x)
- Postura (1x)
- Senso estético (1x)</t>
  </si>
  <si>
    <t>- Amizade (11x)
- Transparência (7x)
- Motivação (5x)
- Proatividade (4x)
- Criatividade (4x)
- Busca por desenvolvimento (3x)
- Responsabilidade coletiva (3x)
- Excelência em entregas (3x)
- Comunicação (2x)
- Tato (1x)
- Sentimento de clube (1x)
- Trabalho em equipe (1x)
- Senso crítico (1x)
- Organização de suas demandas (1x)</t>
  </si>
  <si>
    <t>- Senso crítico (5x) 
- Comunicação (4x)
- Transparência (4x)
- Excelência em entregas (4x)
- Postura (3x)
- Receptividade para feedbacks (2x)
- Saber ouvir (1x)
- Tato (1x)
- Amizade (1x)
- Maturidade (1x)
- Inovação (1x)
- Organização (1x)
- Busca por se desenvolver (1x)</t>
  </si>
  <si>
    <t>- Amizade (11x)
- Excelência (8x)
- Postura (4x)
- Responsabilidade coletiva (4x)
- Receptividade para feedbacks (3x)
- Criatividade (2x)
- Inteligência emocional (2x)
- Constância (2x)
- Vontade de inovar (2x)
- Comunicação (2x)
- Senso crítico (2x)
- Dedicação (1x)
- Mentalidade de fundador (1x)
- Valorizar bons resultados (1x)
- Liderança (1x)
- Humildade (1x)
- Organização (1x)</t>
  </si>
  <si>
    <t>- Amizade (10x)
- Responsabilidade coletiva (9x)
- Mentalidade de fundador (7x)
- Transparência (5x)
- Excelência (4x)
- Busca se desenvolver (2x)
- Senso crítico (2x)
- Visão estratégica (2x)
- Participação em discussões (1x)
- Proatividade (1x)
- Abertura para feedbacks (1x)
- Maturidade (1x)
- Feedbacks (1x)
- Participatividade nas atividades de clube (1x)
- Estimular pensamento crítico de outros membros (1x)</t>
  </si>
  <si>
    <t>- Excelência (15x)
- Responsabilidade coletiva (7x)
- Feedbacks (5x)
- Organização (5x)
- Postura (3x)
- Comunicação (3x)
- Maturidade (2x)
- Participatividade em reuniões e discussões (2x)
- Protagonismo (2x)
- Mentalidade de fundador (2x)
- Obsessão pelo aprendizado (2x)
- Amizade (1x)
- Senso crítico (1x)
- Transparência (1x)
- Motivação (1x)
- Gestão de pessoas (1x)
- Liderança (1x)
- Busca se desenvolver (1x)</t>
  </si>
  <si>
    <t>- Excelência (10x)
- Responsabilidade coletiva (8x)
- Protagonismo (6x)
- Feedbacks (6x)
- Organização (5x)
- Busca por feedbacks (4x)
- Amizade (3x)
- Sentimento de clube (3x)
- Transparência (3x)
- Motivação (2x)
- Criatividade (2x)
- Postura (2x)
- Comunicação (1x)
- Pensamento estratégico (1x)
- Liderança (1x)</t>
  </si>
  <si>
    <t>- Amizade (12x)
- Responsabilidade coletiva (8x)
- Transparência (4x)
- Protagonismo (4x)
- Excelência (4x)
- Receptividade para feedbacks (3x)
- Busca por desenvolvimento (2x)
- Feedbacks (2x)
- Feedbacks (2x)
- Criatividade (2x)
- Comunicação (1x)
- Constância (1x)
- Sentimento de clube (1x)
- Postura (1x)
- Senso crítico (1x)</t>
  </si>
  <si>
    <t>- Excelência (8x)
- Obsessão pelo aprendizado (8x)
- Senso crítico (7x)
- Responsabilidade coletiva (7x)
- Amizade (5x)
- Comunicação (3x)
- Sentimento de clube (3x)
- Postura (3x)
- Gestão de pessoas (3x)
- Feedbacks (2x)
- Liderança (2x)
- Motivação (2x)
- Protagonismo (2x)
- Participatividade nas atividades do clube (2x)
- Inovação (1x)
- Inteligência emocional (1x)
- Tato/tom (1x)
- Maturidade (1x)
- Transparência (1x)
- Visão estratégica (1x)
- Dedicação (1x)</t>
  </si>
  <si>
    <t>- Amizade (12x)
- Exelência (6x)
- Responsabilidade coletiva (5x)
- Senso crítico (4x)
- Sentimento de clube (4x)
- Protagonismo (3x)
- Comunicação (3x)
- Tato/postura (2x)
- Gestão de pessoas (2x)
- Senso de liderança (2x)
- Organização (2x)
- Feedbacks (1x)</t>
  </si>
  <si>
    <t>- Amizade (8x)
- Protagonismo (4x)
- Criatividade (4x)
- Responsabilidade coletiva (3x)
- Receptividade para feedbacks (3x)
- Transparência (2x)
- Valorizar bons resultados (2x)
- Tato e postura (2x)
- Objetividade (1x)
- Busca por feedbacks (1x)
- Excelência (1x)
- Obsessão pelo aprendizado (1x)</t>
  </si>
  <si>
    <t>- Excelência (6x)
- Organização (5x)
- Postura (3x)
- Senso crítico (2x)
- Responsabilidade coletiva (2x)
- Transparência (2x)
- Autocrítica (1x)
- Tato (1x)
- Valorizar bons resultados (1x)
- Comunicação (1x)</t>
  </si>
  <si>
    <t>- Excelência (12x)
- Amizade (9x)
- Senso crítico (4x)
- Qualidade dos feedbacks (3x)
- Transparência (3x)
- Alinhamento com a cultura (2x)
- Gestão de demandas (2x)
- Clareza na fala (2x)
- Postura (2x)
- Protagonismo (1x)
- Responsabilidade coletiva (1x)</t>
  </si>
  <si>
    <t>- Amizade (13x)
- Receptividade e absorção de feedbacks (5x)
- Protagonismo (4x)
- Criatividade (3x)
- Feedbacks (3x)
- Pensamento crítico (2x)
- Senso crítico (2x)
- Comunicação (2x)
- Busca por desenvolvimento (2x)
- Sentimento de clube (1x)
- Responsabilidade coletiva (1x)
- Organização (1x)
- Excelência (1x)
- Participação em reuniões (1x)
- Motivação (1x)
- Liderança (1x)
- Postura (1x)</t>
  </si>
  <si>
    <t>- Amizade (8x)
- Vontade de inovar (6x)
- Participação em reuniões (4x)
- Responsabilidade coletiva (3x)
- Comunicação (2x)
- Dedicação / Esforço (1x)
- Foco (1x)
- Autocrítica (1x)
- Motivação (1x)
- Busca por feedbacks (1x)
- Obsessão pelo aprendizado (1x)
- Excelência quando motivado (1x)
- Transparência com a coordenação (1x)</t>
  </si>
  <si>
    <t>- Excelência (14x)
- Organização (10x)
- Qualidade dos feedbacks (5x)
- Protagonismo (3x)
- Responsabilidade coletiva (3x)
- Postura (3x)
- Senso crítico (3x)
- Amizade (2x)
- Comunicação (2x)
- Contância de desempenho (1x)
- Obsessão pelo aprendizado (1x)
- Participação em outras demandas (1x)
- Liderança (1x) 
- Foco / Dedicação (1x)
- Trabalho em equipe (1x)
- Criatividade (1x)
- Cumprimento de prazos (1x)</t>
  </si>
  <si>
    <t>- Excelência (12x)
- Protagonismo (5x)
- Obsessão pelo aprendizado (5x)
- Qualidade dos feedbacks (5x)
- Postura (5x)
- Senco crítico (4x)
- Liderança / Gestão de pessoas (3x)
- Organização (3x)
- Maturidade (3x)
- Participação em reuniões (2x)
- Inovação (2x)
- Comunicação (2x)
- Transparência (1x)
- Calma em momentos de estresse (1x)
- Responsabilidade coletiva (1x)
- Rceptividade a feedbacks (1x)
- Visão estratégica (1x)</t>
  </si>
  <si>
    <t>- Amizade (13x)
- Qualidade dos feedbacks (9x)
- Responsabilidade coletiva (5x)
- Inovação (4x)
- Senso crítico (4x)
- Mentalidade de Fundador (3x)
- Protagonismo (3x)
- Transparência (3x)
- Gestão de pessoas (3x)
- Excelência (2x)
- Dedicação (1x)
- Pensamento crítico (1x)
- Receptividade a feedbacks (1x)
- Visão estratégica (1x)
- Contato com outras demandas (1x)</t>
  </si>
  <si>
    <t>- Amizade (9x)
- Excelência (5x)
- Responsabilidade Coletiva (5x)
- Gestão de demandas e pessoas / Liderança (4x)
- Protagonismo (3x)
- Transparência (3x)
- Senso crítico (2x)
- Mentalidade de Fundador (2x)
- Busca por feedbacks (2x)
- Obsessão pelo aprendizado (1x)
- Motivação (1x)
- Constância no desempenho (1x)
- Visão estratégica (1x)
- Pensamento crítico (1x)</t>
  </si>
  <si>
    <t>- Amizade (9x)
- Excelência (6x)
- Inovação / Criatividade (3x)
- Postura / Maturidade (3x)
- Absorção/receptividade a feedbacks (2x)
- Transparência (2x)
- Comunicação (2x)
- Saber ouvir / Tato (2x)
- Qualidade dos feedbacks (1x)
- Participação em reuniões (1x)
- Senso crítico (1x)
- Comunicação (1x)
- Responsabilidade coletiva (1x)
- Obsessão pelo aprendizado (1x)
- Absorção de feedbacks (1x)</t>
  </si>
  <si>
    <t>- Amizade (10x)
- Protagonismo (6x)
- Liderança (4x)
- Mentalidade de Fundador (4x)
- Comunicação (3x)
- Qualidade dos feedbacks (3x)
- Excelência (3x)
- Organização (2x)
- Contato com outras demandas (2x)
- Inovação (2x)
- Saber ouvir (2x)
- Autoconfiança (1x)
- Visão estratégica (1x)
- Responsabilidade coletiva (1x)
- Senso de urgência (1x)
- Participação em reuniões (1x) 
- Pensamento e planejamento de demandas (1x)
- Obsessão pelo aprendizado (1x)
- Busca por feedbacks (1x)
- Tato (1x)</t>
  </si>
  <si>
    <t>- Obsessão pelo aprendizado (14x)
- Excelência (8x)
- Senso crítico (7x)
- Qualidade dos feedbacks (6x)
- Amizade (5x)
- Postura / Maturidade (4x)
- Responsabilidade coletiva (2x)
- Visão estratégica (2x)
- Mentalidade de Fundador (2x)
- Organização (2x)
- Pensamento crítico (2x)
- Usa bem os canais de conhecimento do clube
- Comunicação
- Evolução na gestão de pessoas
- Buscar inovação</t>
  </si>
  <si>
    <t>- Transparência (17x)
- Contato com os membros / Amizade (15x)
- Tom da fala (7x)
- Motivação e gestão de pessoas (6x)
- Contato com as demandas (5x)
- Receptividade a feedbacks (4x)
- Inteligência emocional (3x)
- Tato (2x)
- Protagonismo (2x)
- Responsabilidade coletiva (1x)
- Cabeça dura (1x)
- Promover mais discussões (1x)
- Pouca busca por feedbacks (1x)
- Inovação (1x)
- Senso de urgência (1x)
- Planejamento estratégico (1x)</t>
  </si>
  <si>
    <t>- Transparência (10x)
- Contato com membros / Amizade (9x)
- Tom da fala (8x)
- Contato com as demandas (5x)
- Inovação (3x)
- Cabeça dura (3x)
- Receptividade a feedbacks (3x)
- Obsessão pelo aprendizado (3x)
- Responsabilidade coletiva (2x)
- Prolixo / Comunicação (2x)
- Protagonismo (2x)
- Motivação (1x)
- Excelência (1x)
- Gestão de pessoas (1x)
- Visão estratégica (1x)</t>
  </si>
  <si>
    <t>- Objetividade na fala (9x)
- Gestão de pessoas (6x)
- Inteligência emocional (5x)
- Humildade (4x)
- Obsessão pelo aprendizado (4x)
- Tato/postura (4x)
- Receptividade para feedbacks (3x)
- Maturidade (2x)
- Gerenciamento de tempo (2x)
- Responsabilidade coletiva (2x)
- Senso crítico (2x)
- Feedbacks (2x)
- Autocrítica (2x)
- Postura (1x)
- Foco (1x)
- Paciência (1x)
- Saber ouvir (1x)
- Sentimento de clube (1x)
- Amizade (1x)
- Participatividade em outras demandas (1x)</t>
  </si>
  <si>
    <t>- Postura (7x)
- Senso crítico (6x)
- Comunicação (5x)
- Organização (5x)
- Qualidade de feedbacks (5x)
- Participar de outras demandas (4x)
- Maturidade (3x)
- Visão estratégica (3x)
- Obsessão pelo aprendizado (3x)
- Seriedade com prazos (2x)
- Excelência (2x)
- Buscar entregar além (2x)
- Constância (1x)
- Transparência (1x)
- Comunicação (1x)
- Eficiência nas tarefas (1x)
- Formalidade (1x)
- Inteligência emocional (1x)
- Aprender com as demandas (1x)
- Criatividade (1x)
- Proatividade (1x)
- Proposição de soluções para o Clube (1x)
- Autocrítica (1x)</t>
  </si>
  <si>
    <t>- Protagonismo (6x)
- Amizade / contato com membros (5x)
- Constância (4x)
- Obsessão pelo aprendizado (3x)
- Mentalidade de fundador / sentimento de Clube (3x)
- Organização (3x)
- Excelência (3x)
- Feedbacks (2x)
- Pensamento estratégico (2x)
- Responsabilidade (2x)
- Criatividade / inovação (2x)
- Cabeça dura (1x)
- Comunicação (1x)
- Liderança (1x)
- Responsabilidade coletiva (1x)</t>
  </si>
  <si>
    <t>- Protagonismo (8x)
- Feedbacks (6x)
- Obsessão pelo aprendizado (6x)
- Comunicação (5x)
- Senso crítico (5x)
- Engajamento com demandas de fora da área (4x)
- Visão estratégica (4x)
- Participatividade em atividades do clube (3x)
- Excelência (2x)
- Transparência (2x)
- Liderança (2x)
- Busca por inovar (2x)
- Responsabilidade coletiva (2x)
- Participatividade em reuniões (1x)
- Sentimento de clube (1x)
- Receptividade para feedbacks (1x)
- Busca se desenvolver (1x)
- Gestão de pessoas (1x)
- Incitar debates (1x)
- Estimular outros membros (1x)</t>
  </si>
  <si>
    <t>- Tato/tom de voz (10x)
- Postura (7x)
- Cabeça dura (5x)
- Inteligência emocional (4x)
- Obsessão pelo aprendizado (4x)
- Excelência em entregas (3x)
- Feedbacks (3x)
- Objetividade e timing na comunicação (3x)
- Paciência (2x)
- Estimular outros membros (2x)
- Receptividade para feedbacks (2x)
- Organização (1x)
- Procurar sair da zona de conforto (1x)
- Criatividade (1x)
- Participatividade em outras demandas (1x)
- Foco (1x)</t>
  </si>
  <si>
    <t>- Amizade (7x)
- Protagonismo (5x)
- Obsessão pelo aprendizado (4x)
- Visão estratégica (3x)
- Participar ativamente de outras atividades do clube (3x)
- Pensamento crítico (3x)
- Responsabilidade coletiva (2x)
- Gestão de pessoas (2x)
- Incitar debates (1x)
- Liderança (1x)
- Timidez (1x)
- Transparência (1x)
- Ansiedade (1x)
- Perfeccionismo (1x)
- Constância (1x)
- Criatividade (1x)
- Organização (1x)
- Capacidade de priorização (1x)
- Mentalidade de fundador (1x)
- Buscar se desenvolver nas demandas (1x)
- Participar de demandas da escola (1x)
- Qualidade dos feedbacks (1x)
- Frequência dos feedbacks (1x)</t>
  </si>
  <si>
    <t>- Comunicação (6x)
- Obsessão pelo aprendizado (5x)
- Inteligência emocional (4x)
- Participatividade em discussões (4x)
- Pensamento estratégico (3x)
- Senso crítico (3x)
- Tato para feedbacks (3x)
- Feedbacks (2x)
- Foco (2x)
- Amizade (2x)
- Participatividade em outras áreas (2x)
- Proposição de melhorias (2x)
- Aproveitar momentos de descontração (1x)
- Criatividade (1x)
- Autocrítica (1x)
- Receptividade para feedbacks (1x)
- Organização (1x)
- Eficiência em tarefas (1x)
- Gestão de pessoas (1x)
- Constância (1x)</t>
  </si>
  <si>
    <t>- Excelência (5x)
- Obsessão pelo aprendizado (5x)
- Constância (4x)
- Dinstiguir momentos de descontração e sérios (4x)
- Visão estartégica (3x)
- Desenvolver outros membros (3x)
- Protagonismo (2x)
- Organização (2x)
- Senso crítico (2x)
- Participação em atividades do clube (2x)
- Criatividade (1x)
- Objetividade na escrita (1x)
- Criatividade (1x)
- Proposição de soluções (1x)
- Gestão de pessoas (1x)
- Maturidade (1x)</t>
  </si>
  <si>
    <t>- Transparência (5x)
- Participatividade em atividades não formais (4x)
- Cabeça Dura (4x)
- Comunicação (3x)
- Protagonismo (2x)
- Frequência de feedbacks (2x)
- Gestão de pessoas (1x)
- Amizade (1x)
- Postura (1x)
- Incitar mais debates (1x)
- Busca por feedbacks (1x)
- Organização (1x)
- Obsessão pelo aprendizado (1x)
- Criatividade (1x)
- Valorização de bons resultados (1x)
- Comunicação objetiva (1x)
- Maturidade (1x)
- Ser mais aberto (1x)
- Separar pessoal do profissional (1x)</t>
  </si>
  <si>
    <t>- Obsessão pelo aprendizado (8x)
- Transparência (4x)
- Inteligência emocional (3x)
- Participatividade em atividades do clube (3x)
- Feedbacks (3x)
- Protagonismo (2x)
- Postura (2x)
- Gestão de pessoas (2x)
- Maturidade (1x)
- Seperação profissional-pessoal (1x)
- Organização (1x)
- Valorizar bons resultados (1x)
- Comunicação (1x)
- Sentimento de clube (1x)</t>
  </si>
  <si>
    <t>- Organização (1x)
- Feedbacks/transparência (4x)
- Feedbacks no privado (1x)
- Sentimento de clube (1x)
- Participatividade no Clube (3x)
- Participação em discussões (2x)
- Excelência (5x)
- Senso crítico (6x)
- Obsessão pelo aprendizado (3x)
- Senso de liderança (2x)
- Protagonismo (3x)
- Criatividade (1x)
- Comunicação (2x)
- Organização (3x)
- Senso estético (1x)
- Receptividade para feedbacks (1x)</t>
  </si>
  <si>
    <t>- Sentimento de Clube (6x)
- Inteligência emocional (3x)
- Mentalidade de fundador (3x)
- Amizade (3x)
- Protagonismo (2x)
- Feedbacks/transparência (2x)
- Obsessão pelo aprendizado (1x)
- Confiança (1x)
- Senso crítico (1x)</t>
  </si>
  <si>
    <t>- Tom de fala / Tato / Viés em opiniões e avaliações (7x)
- Obsessão pelo aprendizado (5x)
- Gestão de pessoas (4x)
- Inteligência emocional (4x)
- Receptividade a feedbacks (4x)
- Participação em atividades do clube (3x)
- Protagonismo (3x)
- Cabeça dura (2x)
- Postura (2x)
- Conciliação CC-faculdade (1x)
 - Criatividade / Inovação (1x)
- Mentalidade de Fundador (1x)
- Transparência (1x)
- Motivação (1x)
- Humildade / Autocrítica (1x)</t>
  </si>
  <si>
    <t>- Excelência (7x)
- Constância de desempenho (6x)
- Protagonismo (4x)
- Feedbacks (4x)
- Responsabilidade coletiva (3x)
- Visão estratégica (3x)
- Organização (3x)
- Obsessão pelo aprendizado (3x)
- Foco / Seriedade (2x)
- Senso crítico (2x)
- Cumprimento de prazos (2x)
- Qualidade nas primeiras versões de entregas (2x)
- Inovação dentro das demandas/clube (2x)
- Ir além nas entregas (1x)
- Participação em outras demandas (1x)
- Gestão de pessoas (1x)
- Participação/estimulação de discussões (1x)
- Qualidade dos feedbacks (1x)</t>
  </si>
  <si>
    <t>- Excelência (10x)
- Constância no desempenho / Foco / Motivação (5x)
- Organização (5x)
- Qualidade dos feedbacks (4x)
- Protagonismo (4x)
- Transparência (3x)
- Cumprimento de prazos (3x)
- Visão estratégica (3x)
- Senso crítico (2x)
- Comunicação com as equipes (2x)
- Responsabilidade coletiva (2x)
- Absorção de feedbacks / Receptividade a feedbacks (2x)
- Obsessão pelo aprendizado (2x)
- Comunicação (1x)
- Postura (1x)
- Amizade (1x)
- Proatividade para implementar suas ideias (1x)</t>
  </si>
  <si>
    <t>- Transparência (6x)
- Ser mais crítica / Pensamento crítico / Visão estratégica (5x)
- Inovação / Mentalidade de Fundador (4x)
- Participação em outras demandas (4x)
- Motivação e gestão de pessoas / Liderança (4x)
- Amizade (4x)
- Obsessão pelo aprendizado (3x)
- Protagonismo (2x)
- Participação em discussões (2x)
- Calma em momentos de estresse e pressão (1x)
- Absorção de feedbacks (1x)
- Busca por feedbacks (1x)</t>
  </si>
  <si>
    <t>- Amizade / Contato com os membros (12x)
- Motivação e gestão de pessoas / Liderança (4x)
- Transparência (4x)
- Organização (4x)
- Inovação (3x)
- Qualidade dos feedbacks (2x)
- Contato com outras demandas/áreas (2x)
- Proatividade para implementar ideias (2x)
- Comunicação (1x)
- Receptividade a feedbacks (1x)
- Protagonismo (1x)
- Equilíbrio de dedicação entre as demandas (1x)
- Mentalidade de Fundador (1x)
- Busca por feedbacks (1x)
- Organização de demandas (1x)
- Responsabilidade coletiva (1x)
- Tato (1x)
- Mediação de discussões (1x)</t>
  </si>
  <si>
    <t>- Organização (8x)
- Constância de desempenho (5x)
- Postura / Concentração (5x)
- Objetividade e clareza da fala (4x)
- Protagonismo (4x)
- Excelência / Capricho (4x)
- Transparência (4x)
- Qualidade dos feedbacks em entregas (3x)
- Obsessão pelo aprendizado (3x)
- Pontualidade (2x)
- Responsabilidade coletiva (1x)
- Preparação para reuniões (1x)
- Mentalidade de Fundador (1x)
- Motivação (1x) 
- Inovação (1x)
- Senso de urgência (1x)</t>
  </si>
  <si>
    <t>- Clareza na comunicação (6x)
- Autoconfiança (4x)
- Criatividade / Inovação (3x)
- Escrita (2x)
- Obsessão pelo aprendizado (2x)
- Protagonismo (1x)
- Feedbacks (1x)
- Mentalidade de Fundador (1x)
- Contato com outras demandas (1x)
- Busca por feedbacks (1x)
- Qualidade dos feedbacks (1x)
- Senso estético (1x)
- Gestão de pessoas (1x)
- Calma em momentos desafiadores (1x)
Responsabilidade coletiva (1x)
- Postura (1x)
- Capacidade de ser mais rígido (1x)</t>
  </si>
  <si>
    <t>- Protagonismo (6x)
- Qualidade de feedbacks (5x)
- Participação nas atividades do clube/reuniões (5x)
- Senso crítico (4x)
- Obsessão pelo aprendizado (4x)
- Pensamento estratégico / Visão estratégica (3x)
- Transparência (2x)
- Responsabilidade coletiva (2x)
- Mentalidade de Fundador (2x)
- Transparência (2x)
- Organização (1x)
- Autoconfiança (1x)
- Inovação no clube (1x)
- Busca por feedbacks (1x)
- Senso de urgência (1x)</t>
  </si>
  <si>
    <t>- Protagonismo (10x)
- Mentalidade de Fundador (4x)
- Liderança (4x)
- Inovação (4x)
- Obsessão pelo aprendizado (3x)
- Comunicação (2x)
- Organização (2x)
- Senso crítico (2x)
- Participação em reuniões (2x)
- Pensamento e planejamento de demandas (2x)
- Qualidade dos feedbacks (2x)
- Visão estratégica / Pensamento crítico (2x)
- Responsabilidade coletiva (2x)
- Excelência (2x)
- Senso de urgência (1x)
- Contato com outras demandas (1x)
- Autoconfiança (1x)
- Absorção de feedbacks (1x)
- Transparência (1x)</t>
  </si>
  <si>
    <t>- Gestão de pessoas / Gestão de demandas (12x)
- Contato com as demandas (7x)
- Protagonismo (5x)
- Transparência (5x)
- Tato (3x)
- Amizade / Contato com os membros (3x)
- Tom da fala (3x)
- Humildade (2x)
- Comunicação (2x)
- Manter calma em momentos de estresse (2x)
- Organização (2x)
- Alinhar expectativas melhor com os membros
- Receptividade a feedbacks
- Presença no clube
- Participação em reuniões
- Dar mais feedbacks positivos</t>
  </si>
  <si>
    <t>João Pedro Darous</t>
  </si>
  <si>
    <t>Rafael De Biase</t>
  </si>
  <si>
    <t>Maria Luísa Becker</t>
  </si>
  <si>
    <t>João Lourenço</t>
  </si>
  <si>
    <t>Matheus Becker</t>
  </si>
  <si>
    <t>João Santos</t>
  </si>
  <si>
    <t>João Arthur Serrão</t>
  </si>
  <si>
    <t>Caio Amadeu</t>
  </si>
  <si>
    <t>Beatriz Roza</t>
  </si>
  <si>
    <t>Bianca Martin</t>
  </si>
  <si>
    <t>Bernardo Asmar</t>
  </si>
  <si>
    <t>Bruno Passos</t>
  </si>
  <si>
    <t>Felipe Issa</t>
  </si>
  <si>
    <t>Luis Fernando</t>
  </si>
  <si>
    <t>João Maurício</t>
  </si>
  <si>
    <t>Isabela Souza</t>
  </si>
  <si>
    <t>Juliana Pego</t>
  </si>
  <si>
    <t>Sophia Bilhalva</t>
  </si>
  <si>
    <t>Laura Menezes</t>
  </si>
  <si>
    <t xml:space="preserve">Guilherme Adayme		Bernardo Albuquerque		Gabriela Lopes		João Pedro Darous		Rafael De Biase		Maria Luísa Becker		João Lourenço		Matheus Becker		João Santos		Maria Luisa Chambers		João Arthur Serrão		Caio Amadeu		Beatriz Roza		Bianca Martin		Bernardo Asmar		Bruno Passos		Felipe Issa		Luis Fernando		João Maurício		Isabela Souza		Ana Catarina Heimlich		Juliana Pego		Vinicius Ghiotti		Sophia Bilhalva		Laura Menezes	</t>
  </si>
  <si>
    <t>- postura (x11)
- comunicação (x8)
- senso crítico (x7)
- proatividade/protagonismo (x6)
- excelência (x6)
- gestão/liderança (x5)
- obsessão pelo aprendizado (x5)
- organização (x5)
- mentalidade de fundador (x4)
- responsabilidade coletiva (x4)
- inovação (x4)
- humildade/receptividade (x3)
- amizade (x3)
- visão estratégica (x3)
- comprometimento (x2)
- participação em reuniões (x2)
- estabilidade emocional (x2)
- responsabilidade (x2)
- visão estratégica (x2)
- brilho nos olhos (x2)
- objetividade (x2)
- urgência (x1)
- transparência (x1)
- tato e tom (x1)</t>
  </si>
  <si>
    <t>- amizade (x18)
- senso crítico (x11)
- excelência (x8)
- inovação/criatividade (x7)
- visão estratégica (x6)
- postura (x6)
- protagonismo (x5)
- proximidade com membros (x4)
- gestão de pessoas (x4)
- solícito (x3)
- responsabilidade coletiva (x3)
- brilho nos olhos/sentimento de Clube (x3)
- comunicação (x3)
- proatividade (x3)
- dedicação (x2)
- feedbacks (x2)
- honestidade (x2)
- motivação (x2)
- humildade (x2)
- comprometimento (x2)
- mentalidade de fundador (x2)
- comunicação (x1)
- organização (x1)
- participação em frentes do Clube (x1)
- transparência (x1)</t>
  </si>
  <si>
    <t xml:space="preserve">Excelência (x7)
Organização (x6)
Feedbacks construtivos (x5)
Obsessão pelo aprendizado (x4)
Postura (x4)
Constância (x4)
Amizade (x4)
Responsabilidade Coletiva (x3)
Gestão de pessoas (x3)
Pensamento estratégico (x2)
Sentimento de Clube (x2)
Senso crítico (x2)
Senso de urgência (x1)
Comunicação (x1)
</t>
  </si>
  <si>
    <t xml:space="preserve">Organização (x7)
Excelência (x6)
Amizade (x5)
Obsessão pelo aprendizado (x3)
Senso crítico (x2)
Pensamento estratégico (x2)
Gestão de pessoas (x2)
Responsabilidade coletiva (x1)
Paixão pelo Clube (x1)
</t>
  </si>
  <si>
    <t xml:space="preserve">Amizade (x9)
Responsabilidade coletiva (x4)
Senso crítico (x4)
Senso estético (x2)
Excelência (x2)
Transparência (x2)
Pensamento estratégico (x2)
Criatividade (x2)
Busca por feedbacks (x1)
Proativo (x1)
Participação em reuniões (x1)
Gestão de pessoas (x1)
Oratória (x1)
</t>
  </si>
  <si>
    <t xml:space="preserve">Amizade (x16)
Responsabilidade coletiva (x13)
Excelência (x4)
Protagonismo (x4)
Senso crítico (x3)
Comunicação (x3)
Criatividade (x2)
Participação em reuniões (x1)
Trabalho em equipe (x1)
Transparência (x1)
Receptividade a feedbacks (x1)
Pensamento estratégico (x1)
Feedbacks muito completos nas demandas e em grande quantidade (x1)
Obsessão pelo aprendizado (x1)
Postura (x1)
Resiliência (x1)
Mentalidade de fundador (x1)
</t>
  </si>
  <si>
    <t xml:space="preserve">Obsessão pelo aprendizado (x6)
Excelência (x5)
Brilho nos olhos (x4)
Mentalidade de fundador (x3)
Protagonismo (x2)
Senso crítico (x2)
Inovação (x2)
Pensamento estratégico (x2)
Transparência (x2)
Feedbacks completos (x3)
Bom acompanhamento quanto às obrigações dos membros da área (x1)
Pensamento crítico sobre área (x1)
Participação em reuniões/capacitações (x1)
Amizade (x1)
Liderança e gestão (x1)
Postura (x1)
</t>
  </si>
  <si>
    <t xml:space="preserve">Participação e visão de área (x4)
Obsessão pelo aprendizado (x3)
Senso crítico (x3)
Qualidade das entregas (x3)
Amizade (x2)
Criatividade (x2)
Transparência (x1)
Responsabilidade coletiva (x1)
Confiança (x1)
</t>
  </si>
  <si>
    <t xml:space="preserve">Obsessão pelo aprendizado (x12)
Excelência (x9)
Amizade (x5)
Qualidade dos feedbacks (x4)
Organização (x3)
Senso crítico (x3)
Participação em demandas e reuniões (x3)
Motivação (x1)
Receptividade de feedbacks (x1)
Transparência (x1)
Altruísmo (x1)
Dedicação (x1)
Transparência (x1)
</t>
  </si>
  <si>
    <t xml:space="preserve">- senso crítico (x10)
- amizade  (x8)
- mentalidade de fundador (x8)
- postura (x5)
- pensamento estratégico (x6)
- responsabilidade coletiva (x4)
- gestão de pessoas (x6)
- organização (x3)
- protagonismo (x3)
- qualidade dos feedbacks (x2)
- canal aberto (x2)
- transparência (x2)
- excelência (x2)
- objetividade e comunicação (x1)
- motivação (x1)
</t>
  </si>
  <si>
    <t xml:space="preserve">- amizade (x10)
- transparência (x5)
- responsabilidade coletiva (x3)
- obsessão pelo aprendizado (x3)
- uso do slack (x2)
- equilíbrio entre vida e clube (x2)
- organização (x2)
- compreensão e empatia (x2)
- boas entregas (x1)
- recorrência de feedbacks (x1)
- proativo (x1)
- ambição (x1)
- motivar os outros (x1)
- senso crítico (x1)
- boas ideias  (x1)
</t>
  </si>
  <si>
    <t xml:space="preserve">- protagonismo (x9) 
- excelência (x8)
- amizade (x7)
- responsabilidade coletiva (x6)
- gestão de pessoas (x6)
- comprometimento (x5)
- senso crítico (x5)
- mentalidade de fundador (x4)
- qualidade dos feedbacks (x3)
- busca por inovações (x3)
- transparência (x3)
- comunicação (x2)
- organização (x2)
- obsessão pelo aprendizado (x1)
- postura (x1)
- participação em reunião (x1)
</t>
  </si>
  <si>
    <t xml:space="preserve">- excelência (x13)
- amizade (x11)
- senso crítico (x6)
- protagonismo (x5)
- gestão de pessoas (x4)
- responsabilidade coletiva (x3)
- qualidade de feedbacks (x3)
- comunicação (x2)
- busca por ser referência (x2)
- mentalidade de fundador (x2)
- participação em reuniões (x2)
- tom e tato (x1)
- transparência (x1)
- senso estético (x1)
</t>
  </si>
  <si>
    <t xml:space="preserve">Amizade (x12)
Excelência (x8)
Organização (x6)
Comunicação (x5)
Compromisso com a faculdade e conciliação com clube (x5)
Obsessão pelo aprendizado (x4)
Brilho nos olhos (x4)
Postura (x4)
Mentalidade de fundador (x3)
Senso crítico (x3)
Transparência (x2)
Compreensão com as situações dos membros (x1)
Inovação (x1)
Pensamento estratégico (x1)
Criatividade (x1) 
Imersão no clube (x1)
Ambição (x1)
Protagonismo (x1)
Busca por feedbacks e desenvolvimento (x1)
</t>
  </si>
  <si>
    <t xml:space="preserve">Amizade (x8)
Postura (x5)
Receptividade a feedbacks e ideias (x3)
Excelência (x2)
Calma (x2)
Organização (x2)
Compreensivo (x1)
Tato (x1)
Poder de agregar e homogeneizar a equipe (x1) 
Equilíbrio vida e clube (x1)
Flexibilidade (x1)
Senso crítico (x1)
Resiliência (x1)
Confiante (x1)
Paciência (x1)
Vontade de aprender (x1)
</t>
  </si>
  <si>
    <t xml:space="preserve">Responsabilidade coletiva (x6)
 mentalidade de fundador (x5)
Excelência (x5)
Transparência (x4)
Participação em atividades do clube (x3)
Postura (x3)
Amizade (x3)
Senso crítico (x3)
Organização (x2)
Protagonismo (x2)
Inovação (x1)
Posicionamento (x1)
Busca por desenvolvimento (x1)
Questionador (x1)
Busca engajar os membros com outras atividades (x1)
Interessado (x1)
Obsessão pelo aprendizado (x1)
Criativo (x1)
Confiança (x1)
Estética (x1)
</t>
  </si>
  <si>
    <t xml:space="preserve">Excelência (x8)
Organização (x5)
Senso crítico (x3)
Dedicação (x2)
Amizade (x2)
Dedicação a faculdade e conciliação com clube (x2)
Feedbacks (x2)
Receptividade a feedbacks (x1)
Postura (x1)
Bem engajado nas próprias demandas (x1)
Flexibilidade (x1)
Sincero (x1)
Objetivo (x1)
Confiante (x1)
Inovação (x1)
</t>
  </si>
  <si>
    <t xml:space="preserve">Excelência (x8)
Amizade (x6)
Senso crítico (x6)
Qualidade dos feedbacks (x5)
Participação em reuniões (x5)
Brilho nos olhos (x4)
Inovação (x4)
Responsabilidade coletiva (x4)
Imersão e engajamento com o clube (x4)
Comunicação (x3)
Sentimento de clube e mentalidade de fundador (x3)
Dedicação (x3)
Protagonismo e proatividade (x3)
Postura (x2)
Motivação (x2)
Tato (x1)
Participação em outras demandas (x1)
Comunicação com diferentes pessoas (x1)
Sincero (x1)
</t>
  </si>
  <si>
    <t xml:space="preserve">Obsessão pelo aprendizado (x11)
Senso crítico (x5)
Responsabilidade coletiva (x4)
Comunicação (x4)
Excelência (x3)
Organizado com coisas do CC (x3)
Feedbacks completos (x3)
Questionador (x2)
participação em outras demandas (x2)
Mentalidade fundador (x2)
Criatividade (x2)
Visão estratégica (x2)
Conhecimento ferramental (x2)
Brilho nos olhos (x2)
Transparência (x2)
Protagonismo (x2)
Pensamento crítico a respeito do Clube (x1)
Inovação (x1)
Postura (x1)
Espírito de dono (x1)
Confiante (x1)
Frequência de feedbacks (x1)
Integração (x1)
</t>
  </si>
  <si>
    <t xml:space="preserve">Amizade (x12)
Transparência (x5)
Comunicação (x3)
Protagonismo (x2)
Participação em reuniões (x1)
Questionar (x1)
Separação pessoal profissional (x1)
Entender os limites (x1)
Busca por desenvolvimento (x1)
Dá valor ao meio acadêmico (x1)
Responsabilidade coletiva (x1)
Alegria e leveza (x1)
Receptiva (x1)
Maturidade (x1)
Notável desenvolvimento no período de Clube (x1)
                      </t>
  </si>
  <si>
    <t>- organização (x10)
- senso crítico (x7)
- excelência (x7)
- urgência (x5)
- transparência (x5)
- proatividade (x4)
- visão a longo prazo (x3)
- responsabilidade (x2)
- preocupação com desenvolvimento de terceiros (x2)
- melhorias na área/demanda (x2)
- confiança (x1)
- resolução de problemas (x1)
- inovação (x1)</t>
  </si>
  <si>
    <t xml:space="preserve">Receptiva a feedbacks (x5)
Comunicação (x5)
Excelência (x4)
Organização (x4)
Senso estético (x4)
Esforço/dedicação (x3)
Senso crítico (x4)
Transparência (x2)
Autocrítica (x2)
Responsabilidade coletiva (x2)
Amizade (x2)
Determinação em melhorar e aprender (x1)
Brilho no olho (x1)
Obsessão pelo aprendizado (x1)
</t>
  </si>
  <si>
    <t xml:space="preserve">Excelência (x8)
Amizade (x4)
Transparência (x3)
Protagonismo (x2)
Obsessão pelo aprendizado (x2)
Senso crítico (x2)
Responsabilidade Coletiva (x2)
Liderança (x2)
Comunicação (x1)
Feedbacks completos (x1)
Mentalidade de fundador (x1)
Tranquilidade (x1)
Postura (x1)
Organização (x1)
Brilho nos olhos (x1)
Comprometimento (x1)
</t>
  </si>
  <si>
    <t xml:space="preserve">Excelência (x6)
Protagonismo (x5)
Gestão de pessoas (x4)
Senso crítico (x3)
Amizade (x3)
Inovação (x1)
Obsessão pelo aprendizado (x1)
Lidar com situações adversas (x1)
Receptividade a feedbacks (x1)
Dedicação (x1)
Responsabilidade coletiva (x1)
Postura (x1)
</t>
  </si>
  <si>
    <t xml:space="preserve">Excelência (x12)
Amizade (x7)
Responsabilidade coletiva (x6)
Organização (x5)
Comprometimento (x3)
Protagonismo (x2)
Comunicação (x1)
Engajada com a faculdade (x1)
Espírito de dono (x1)
Autonomia (x1)
Objetividade (x1)
Visão estratégica (x1)
Responsabilidade (x1)
</t>
  </si>
  <si>
    <t>- proximidade/abertura com Clube e membros (x8)
- participação em demandas/atividades do Clube (x7)
- transparência (x7)
- feedbacks no privado (x6)
- amizade/descontração (x6)
- gestão/motivação de pessoas (x3)
- monitoramento (x3)
- urgência (x3)
- clareza na comunicação (x2)
- criatividade (x2)
- constancia (x1)
- ouvir mais os membros (x1)
- responsabilidade coletiva (x1)
- humildade para assumir erros (x1)
- planejamento a longo prazo (x1)
- treinos de case (x1)
- confiança (x1)
- organização (x1)</t>
  </si>
  <si>
    <t>- organização (x9)
- transparência (x5)
- feedbacks no privado (x5)
- obsessão pelo aprendizado (x5)
- urgência (x4)
- participação em demandas (x4)
- participação nas áreas (x3)
- postura (x3)
- inovação (x2)
- comunicação (x2)
- protagonismo (x2)
- planejamento (x1)
- excelência (x1)
- confiança (x1)
- proatividade (x1)
- disponibilidade (x1)
- abertura a mudanças (x1)
- mentalidade de fundador (x1)</t>
  </si>
  <si>
    <t xml:space="preserve">Feedbacks no privado mais constantes (x6)
Contato com as demais áreas do Clube (x6)
Participação de momentos de descontração (x6)
Contato com os membros (x3)
Confiança em si própria (x3)
Transparência (x2)
Treinos de case mais constantes (x1)
Comunicação (x1)
Disponibilidade (x1)
Inteligência emocional (x1)
Criatividade (x1)
Estar mais presente nas demandas (x1)
Participação em discussões estratégicas (x1)
Cobrança mais ativa do fim de demandas (x1)
</t>
  </si>
  <si>
    <t xml:space="preserve">Comunicação (x7)
Qualidade do feedback (x3)
Feedbacks privado (x2)
Feedbacks de alinhamento a cultura (x2)
Protagonismo (x2)
Senso crítico (x2)
Participação em outras áreas (x2)
Inovação (x2)
Pensamento estratégico sobre o Clube (x1)
Obsessão pelo aprendizado (x1)
Buscar ao máximo trazer entregas mais completas, com mais conteúdo e também destrinchá-lo melhor (x1)
Planejamento a longo prazo e transparência (x1)
Autoconfiança (x1)
</t>
  </si>
  <si>
    <t xml:space="preserve">Organização (x11)
Constância (x4)
Excelência (x4)
Motivação (x3)
Transparência (x3)
Responsabilidade (x2)
Inovação (x2)
Exaustividade nos feedbacks (x2)
Obsessão pelo aprendizado (x1)
Fornecer mais feedbacks no privado (x1)
Atender melhor aos feedbacks fornecidos (x1)
Protagonismo (x1)
Comprometimento (x1)
</t>
  </si>
  <si>
    <t xml:space="preserve">Organização (x12)
Autoconfiança (x10)
Obsessão pelo aprendizado (x4)
Estabilidade e inteligência emocional (x4)
Conciliar faculdade (x2)
Constância (x2)
Motivação (x2)
Comunicação (x2)
Inovação (x2)
Transparência (x1)
Excelência em entregas (x1)
Objetividade (x1)
Ter mais contato com as demandas de sua obrigação (x1)
Maior senso crítico (x1)
Ser mais incisiva em alguns momentos (x1)
Correspondência a feedbacks (x1)
Transparência (dar feedbacks construtivos) (x1)
</t>
  </si>
  <si>
    <t xml:space="preserve">Organização (x7)
Objetividade (x5)
Gestão de pessoas (x3)
Constância (x2)
Transparência (x2)
Amizade (x3)
Feedback informal e de cultura (x2)
Pontualidade (x1)
Senso crítico (x1)
Integração com as outras áreas (x1)
Colocar as ideias mais para frente (x1)
Feedbacks mais realistas/pé no chão (x1)
</t>
  </si>
  <si>
    <t xml:space="preserve">Organização (x8)
Feedbacks em entregas e no privado (3x)
Motivação (x2)
Comunicação (x2)
Presença em momentos de descontração (x2)
Constância (x1)
Responsabilidade coletiva (x1)
Participação em discussões sobre o Clube (x1)
Foco (x1)
</t>
  </si>
  <si>
    <t xml:space="preserve">Inovação (x5)
Objetividade (x4)
Visão estratégica (x4)
Participação em outras áreas (x3)
Gestão de pessoas (x3)
Senso crítico (x3)
Protagonismo (x2)
Postura (x1)
Mais feedbacks voltados para cultura (x1)
Inteligência emocional (x1)
Mentalidade de fundador (x1)
</t>
  </si>
  <si>
    <t xml:space="preserve">- tom, tato e sensibilidade ao falar (x9)
- obsessão pelo aprendizado (x6)
- feedbacks no privado (x6)
- participação em outras áreas (x4)
- gerir e motivar as pessoas (x3)
- comunicação (x3)
- organização (x3)
- responsabilidade coletiva (x2)
- colocar mudanças em prática (x2)
- desempenho acadêmico (x1)
- inteligência emocional (x1)
- abertura a novas ideias (x1)
- feedbacks nas demandas (x1)
- planejamento a longo prazo (x1)
- pensar em inovações (x1)
- protagonismo (x1)
- gestão de crise (x1)
- excelência (x1)
</t>
  </si>
  <si>
    <t xml:space="preserve">- motivação (x6)
- excelência (x6)
- participação e foco em reuniões (x3)
- inovação (x3)
- protagonismo (x3)
- feedbacks no privado (x3)
- obsessão pelo aprendizado (x2)
- sentimento de clube (x2)
- participação em outras demandas (x2)
- qualidade dos feedbacks (x2)
- mentalidade de fundador (x2)
- senso crítico (x1)
- visão estratégica (x1)
- senso estético (x1)
- confiança (x1)
- postura (x1)
</t>
  </si>
  <si>
    <t xml:space="preserve">- organização (x7)
- conciliação com a faculdade (x6)
- participação em outras áreas e demandas (x3)
- planejamento estratégico (x4)
- ceder mais (x2)
- obsessão pelo aprendizado (x2)
- produtividade (x2)
- receptividade a feedbacks (x2)
- inovação (x1)
- cuidado no tom (x1)
- senso de urgência (x1)
- calma (x1)
- comunicação (x1)
</t>
  </si>
  <si>
    <t xml:space="preserve">- organização (x9)
- participação em outras áreas e demandas (x7)
- comunicação, calma e objetividade (x7)
- obsessão pelo aprendizado (x4)
- proatividade (x4)
- participação em reunião e evento interno (x3)
- inovação (x3)
- postura (x3)
- mais feedbacks no privado (x3)
- dedicação à faculdade (x1)
- pensamento estratégico (x1)
- qualidade dos feedbacks (x1)
- empatia (x1)
- autocrítica (x1)
- responsabilidade coletiva (x1)
</t>
  </si>
  <si>
    <t xml:space="preserve">Inovação (x6)
Pensamento estratégico e visão a longo prazo (x5)
Senso crítico (x4)
Organização e prazos (x4)
Participação em outras demandas e áreas (x4)
Protagonismo (x3)
Feedbacks completos (x2)
Obsessão pelo aprendizado (x2)
Transparência (x2)
Interação com pessoas diferentes (x1)
Busca por excelência (x1)
Colocar mudanças em práticas (x1)
Não transparecer muito momentos de insatisfação (x1)
Observadora (x1)
Liderança (x1)
Participação em momentos de descontração (x1)
Senso de urgência (x1)
Confiança (x1)
Objetividade (x1)
Constância (x1)
</t>
  </si>
  <si>
    <t xml:space="preserve">Senso crítico (x4)
Feedbacks (x4)
Participação mais ativa em outras demandas (x3)
Gestão de pessoas (x2)
Motivar os outros (x2)
Mentalidade de fundador (x2)
Participação em reuniões e capacitações (x2)
Protagonismo (x2)
Obsessão pelo aprendizado (x2)
Interação com diferentes membros (x1)
Qualidade das entregas (x1)
Organização (x1)
Imersão no clube (x1)
Liderança (x1)
Criatividade (x1)
Visão estratégica (x1)
Inovação (x1)
Comunicação (x1) 
</t>
  </si>
  <si>
    <t xml:space="preserve">Comunicação e ser prolixo (x9)
Momentos de amizade fora do clube (x5)
Organização e pontualidade  (x2)
Gestão de pessoas e liderança (x2)
Senso crítico (x2)
Inovação (x2)
Constância (x2)
Mentalidade de fundador (x2)
Motivação (x2)
Participação em demandas em que não está alocado (x2)
Motivar os outros (x1)
Proposição de melhorias nas demandas (x1)
Frequência de feedbacks no privado (x1)
Obsessão pela excelência (x1)
Protagonismo (x1)
Sensibilidade (x1)
Flexibilização de ideias em uma equipe/demanda (x1)
Sinceridade (x1)
Pensamento estratégico (x1)
</t>
  </si>
  <si>
    <t xml:space="preserve">Protagonismo (x4)
Participação em resenhas (x4)
Participação nas outras demandas/áreas (x4)
Obsessão pelo aprendizado (x4)
Mentalidade de fundador (x3)
Imersão no clube (x3)
Abertura/proximidade com outros membros (x2)
Responsabilidade coletiva (x2)
Comunicação (x2)
Proposição de melhorias (x2)
Brilho nos olhos (x1)
Engajamento nas capacitações (x1)
Busca por ser referência (x1)
Pensamento crítico a respeito do clube (x1)
Conhecimento ferramental (x1)
Frequência de feedbacks (x1)
Maturidade (x1)
Organização (x1)
Disciplina (x1)
Senso estético (x1)
</t>
  </si>
  <si>
    <t xml:space="preserve">Organização e gestão de tempo (x11)
Comunicação (clareza, objetividade e velocidade) (x8)
Participação em outras áreas (x5)
Feedbacks no privado (x4)
Obsessão pelo aprendizado (x3)
Pensamento crítico/estratégico a respeito do clube (x3)
Atenção em reuniões (x2)
Senso de urgência (x2)
Dedicação na faculdade (x2)
Engajamento com capacitações (x1)
Reconhecer limites próprios (x1)
Receptividade para feedbacks (x1)
Confiança (x1)
Priorização e foco (x1)
Atenção com a imagem que passa (x1)
Inovação (x1)
Liderança (x1)
</t>
  </si>
  <si>
    <t xml:space="preserve">Comunicação (x4)
Tato e tom (x4)
Desempenho acadêmico (x3)
Amizade (x3)
Estabilidade emocional (x3)
Postura (x3)
Humildade (x2)
Maturidade (x2)
Pé no chão (x2)
Motivar os outros (x2)
Inovação (x1)
Pensamento estratégico (x1)
Transparência em feedbacks (x1)
Senso crítico (x1)
Receptividade a feedbacks críticos (x1)
Constância (x1)
Sentimento de Clube (x1)
Autocrítica (x1)
Flexibilidade (x1)
Organização (x1)
Senso de urgência (x1)
Entender quando as coisas não saem do jeito que quer (x1)
Maior consideração com as ideias dos outros (x1)
Tempos de lazer (x1)
Liderança (x1)
Responsabilidade coletiva (x1)
</t>
  </si>
  <si>
    <t xml:space="preserve">Postura (x6)
Excelência (x5)
Sentimento de Clube (x4)
Organização/gestão de tempo (x4)
Mentalidade de fundador (x4)
Participação em outras demandas (x3)
Dedicação (x3)
Disciplina (x2)
Senso estético (x2)
Confiança em si mesma (x1)
Qualidade dos feedbacks (x1)
Senso de urgência (x1)
Busca por ser referência (x1)
Obsessão pelo aprendizado (x1)
Senso crítico (x1)
Engajamento (x1)
Responsabilidade (x1)
Inovação  (x1)
Protagonismo (x1)
Buscar atender melhor aos feedbacks recebidos (x1)
Inteligência emocional (x1)                    </t>
  </si>
  <si>
    <t>- amizade (x12)
- participação em momentos/atividades de Clube (x9)
- flexibilidade (x4)
- inovações (x3)
- feedbacks no privado (x3)
- autoconfiança (x2)
- gestão em momentos de crise (x2)
- trabalho sob pressão (x2)
- disposição (x2)
- receptividade a feedbacks (x2)
- delegar tarefas (x1)
- tato e tom (x1)
- constância (x1)</t>
  </si>
  <si>
    <t xml:space="preserve">Amizade (x9)
Protagonismo (x6)
Autoconfiança e excesso de autocobrança (x3)
Inovação (x3)
Pensamento estratégico (x3)
Organização e antecedência (x2)
Obsessão pelo aprendizado (x2)
Obsessão pelo aprendizado (x2)
Participação em outras áreas e demandas (x2)
Senso de urgência (x1)
Transparência (x1)
Excelência (x1)
Participação em reuniões (x1)
Comunicação (x1)
Liderança (x1)
</t>
  </si>
  <si>
    <t xml:space="preserve">Organização Clube/faculdade (x4)
Pensamento estratégico (x3)
Protagonismo (x3)
Obsessão pelo aprendizado (x2)
Gestão de Pessoas (x2)
Objetividade (x2)
Inovação (x2)
Senso de urgência na fala (x1)
Transparência (x1)
Senso crítico (x1)
Participação em outras demandas (x1)
Mentalidade de fundador (x1)
Liderança (x1)
Sentimento de dono (x1)
</t>
  </si>
  <si>
    <t xml:space="preserve">Transparência (x5)
Obsessão pelo aprendizado (x5)
Pensamento estratégico (x3)
Inovação (x3)
Autoconfiança (x2)
Organização (x2)
Participação em momentos de Clube (x1)
Responsabilidade coletiva (x1)
Objetividade (x1)
</t>
  </si>
  <si>
    <t xml:space="preserve">Transparência (x5)
Participação em outras demandas e áreas (x4)
Senso crítico (x4)
Organização (x3)
Gestão de pessoas (x3)
Pensamento estratégico (x2)
Inovação (x2)
Obsessão pelo aprendizado (x2)
Integração com outras áreas (x2)
Mentalidade de fundador (x2)
Brilho nos olhos (x1)
Autoconfiança (x1)
Estabilidade emocional (x1)
Participação em RGs (x1)
Se posicionar mais incisivamente (x1)
Objetividade (x1)
</t>
  </si>
  <si>
    <t>Sophia Cantanhede</t>
  </si>
  <si>
    <t>Vinícius Ghiotti</t>
  </si>
  <si>
    <t>Antonio Prior</t>
  </si>
  <si>
    <t>Gabriel Catalani</t>
  </si>
  <si>
    <t>Letícia Gusmão</t>
  </si>
  <si>
    <t>Luís Fernando</t>
  </si>
  <si>
    <t>João Pedro Antunes</t>
  </si>
  <si>
    <t>João Mauricio</t>
  </si>
  <si>
    <t>Ingrid Fernandes</t>
  </si>
  <si>
    <t>Patrick Filho</t>
  </si>
  <si>
    <t>Thiago Simões</t>
  </si>
  <si>
    <t>Maria Luisa Becker</t>
  </si>
  <si>
    <t>Beatriz Salvador</t>
  </si>
  <si>
    <t>Isabella Esses</t>
  </si>
  <si>
    <t xml:space="preserve">Maria Luisa Chambers		Caio Amadeu		João Lourenço		João Pedro Darous		Sophia Cantanhede		Vinícius Ghiotti		João Santos		Antonio Prior		Gabriel Catalani		Letícia Gusmão		Beatriz Roza		Luís Fernando		Laura Menezes		Juliana Pego		Felipe Issa		João Pedro Antunes		João Mauricio		Ingrid Fernandes		Patrick Filho		Thiago Simões		Maria Luisa Becker		Bianca Martin		Beatriz Salvador		Isabella Esses	</t>
  </si>
  <si>
    <t xml:space="preserve">Obsessão pelo aprendizado(6x)
Transparência(5x)
Amizade(8x)
Senso crítico(5x)
Protagonismo(1x)
Responsabilidade coletiva(3x)
Mentalidade de fundador(1x)
Inovação(3x)
Postura(2x)
Comunicação(5x)
Visão estratégica(1x)
Gestão de pessoas(2x)
Tato(1x)
Excelência(1x)
</t>
  </si>
  <si>
    <t xml:space="preserve">Fácil de trabalhar(1x)
Senso de urgência(1x)
Organização(5x)
Comunicação(3x)
Postura(1x)
Excelência(5x)
Responsabilidade Coletiva(1x)
Inovação(1x)
Feedbacks(1x)
Obsessão pelo aprendizado(3x) 
Amizade(2x)
Protagonismo(1x)
</t>
  </si>
  <si>
    <t xml:space="preserve">Comunicação(2x)
Liderança(4x)
Mentalidade fundador(1x) 
Excelência(11x)
Inovação(3x)
Pensamento estratégico(1x)
Senso estético(1x)
Transparência(2x)
Amizade(7x)
Compreensão(1x)
Disponibilidade(1x)
Empenho(1x)
Responsabilidade Coletiva(2x)
Alinhamento Cultural(1x)
Senso crítico(1x)
</t>
  </si>
  <si>
    <t xml:space="preserve">Protagonismo(2x)
Amizade(6x) 
Responsabilidade Coletiva(9x)
Excelência(8x)
Brilho nos olhos(1x)
Trabalho em equipe(1x)
Organização(2x)
Problem solving(1x)
Transparência(1x) 
Postura(2x)
Liderança(1x)
Senso crítico(2x)
Obsessão pelo aprendizado(1x)
Senso de Urgência(1x)
</t>
  </si>
  <si>
    <t xml:space="preserve">Liderança(3x)
Excelência(9x)
Amizade(4x)
Transparência(3x)
Responsabilidade coletiva(3x)
Protagonismo(2x)
Disponibilidade(1x)
Trabalhar em grupo(2x)
Respeitoso(1x)
Organização(2x)
Obsessão pelo aprendizado(4x)
Senso crítico(1x)
</t>
  </si>
  <si>
    <t xml:space="preserve">Pensamento crítico(4x)
Motivação(1x)
Transparência(3x)
Inovação(2x)
Amizade(2x)
Responsabilidade coletiva(1x)
Excelência(2x)
Participação em reuniões(1x)
Obsessão pelo aprendizado(2x)
Comunicação(2x)
</t>
  </si>
  <si>
    <t xml:space="preserve">Business sense(1x)
Responsabilidade coletiva(1x)
Receptividade de feedbacks(6x)
Amizade(5x)
Protagonismo(2x)
Senso crítico(2x)
Busca pela melhoria(1x)
Obsessão pelo aprendizado(3x)
Comunicação(1x)
Liderança(1x) 
Transparência(2x)
</t>
  </si>
  <si>
    <t xml:space="preserve">Senso crítico(2x)
Transparência(1x)
Engajamento com o Clube(1x)
Liderança(1x)
Excelência(9x)
Organização(9x)
Senso de urgência(1x)
Conciliação com a faculdade(1x)
Responsabilidade coletiva(1x)
Comunicação(3x)
Postura(1x)
Proatividade(1x)
Liderança(2x)
Amizade(1x)
</t>
  </si>
  <si>
    <t xml:space="preserve">Amizade (x7)
Excelência (x7)
Responsabilidade coletiva (x5)
Gestão de projetos e de pessoas (x4)
Senso crítico (x4)
Pensamento estratégico (x3)
Sentimento de dono (x2)
Feedbacks pontuais
Inovação
Organização
Motivação
Comunicação
Protagonismo
Comunicação
</t>
  </si>
  <si>
    <t xml:space="preserve">Excelência (x11)
Protagonismo (x7)
Responsabilidade coletiva (x6)
Brilho nos olhos (x5)
Amizade (x4)
Liderança (x4)
Participação em outras demandas e reuniões (x3)
Pensamento estratégico (x2)
Obsessão pelo aprendizado (x2)
Tato
Mentalidade de fundador 
Senso crítico
Comunicação
Postura 
</t>
  </si>
  <si>
    <t xml:space="preserve">Excelência (x12)
Amizade (x5)
Responsabilidade coletiva (x5)
Organização (x5)
Postura (x3)
Dedicação (x2)
Proatividade (x2)
Pensamento estratégico (x2)
Trabalho em equipe
Sentimento de clube
Adaptabilidade
Liderança
Senso crítico
</t>
  </si>
  <si>
    <t xml:space="preserve">Excelência (x10)
Amizade (x6)
Organização (x5)
Senso estético (x4)
Receptividade à feedbacks (x3)
Disposta a ajudar (x3)
Dedicação
Postura
Responsabilidade coletiva 
Boa de trabalhar com
Adaptabilidade 
Comunicação
</t>
  </si>
  <si>
    <t xml:space="preserve">Excelência (x13)
Organização (x11)
Liderança (x5)
Comunicação (x2)
Senso crítico (x2)
Amizade (x2)
Disciplina
Postura
Protagonismo
Domínio de ferramental 
Objetividade
Problem solving
</t>
  </si>
  <si>
    <t xml:space="preserve">Excelência (x11)
Amizade (x5)
Responsabilidade coletiva (x5)
Comprometimento (x4)
Postura (x4)
Protagonismo (x3)
Facilidade no aprendizado
Comunicação
Motivação
Empatia
Participação das demandas
Participação em outras demandas
</t>
  </si>
  <si>
    <t xml:space="preserve">Obsessão pelo aprendizado (x9)
Excelência (x8) 
Liderança (x3)
Gestão de projetos e pessoas (x2) 
Comunicação (x2)
Transparência (x2)
Responsabilidade coletiva (x2)
Pensamento estratégico (x2)
Senso crítico
Profissionalismo
Domínio de hard skills
Mentalidade de fundador
</t>
  </si>
  <si>
    <t xml:space="preserve">Protagonismo (x7)
Amizade (x6)
Transparência (x5)
Senso estético (x5)
Senso crítico (x4)
Organização (x3)
Comunicação (x3)
Excelência (x2)
Postura (x2)
Sentimento de dono (x2)
Inovação (x2)
Participação nas demandas (x2)
Senso de urgência
Motivação
</t>
  </si>
  <si>
    <t xml:space="preserve">Excelência (x9)
Postura (x7)
Transparência (x4)
Obsessão pelo aprendizado (x4)
Comunicação (x3)
Senso crítico (x3)
Pensamento estratégico
Responsabilidade coletiva
Amizade
Trabalho em equipe
Motivação
Problem solving
</t>
  </si>
  <si>
    <t xml:space="preserve">Excelência (x10) 
Inovação (x8) 
Senso crítico (x6)
Amizade (x6)
Obsessão pelo aprendizado (x6)
Mentalidade fundador (x5)
Transparência (x3)
Protagonismo (x3)
Capacidade analítica (x2)
Responsabilidade coletiva
Comunicação
Comprometimento
Senso estético
Participação na área
</t>
  </si>
  <si>
    <t xml:space="preserve">Amizade (x10)
Responsabilidade coletiva (x5)
Comunicação (x4)
Senso crítico (x4)
Sentimento de dono (x3)
Transparência (x2)
Pensamento estratégico (x2)
Excelência 
Postura
Protagonismo
Posicionamento em reuniões
Trabalho em equipe 
</t>
  </si>
  <si>
    <t>Organização(3x)
Liderança(1x)
Tato(1x)
Senso de urgência(1x)
Protagonismo(3x)
Senso crítico(2x)
Brilho nos olhos(1x)
Excelência(2x)
Postura(4x)
Obsessão pelo aprendizado(2x)
Responsabilidade coletiva(1x)
Compreensão(1x)
Amizade(3x)
Visão estratégica(2x)</t>
  </si>
  <si>
    <t>Organização(10x)
Participação nas demandas(1x)
Proatividade(1x)
Sinceridade(1x)
Amizade(1x)
Desempenho acadêmico(1x)
Responsabilidade coletiva(2x)
Transparência(1x)
Senso crítico(1x)
Excelência(6x)
Comunicação(3x)</t>
  </si>
  <si>
    <t xml:space="preserve">amizade (11x)
brilho nos olhos(2x)
Comunicação(2x)
Liderança(1x)
responsabilidade coletiva(3x)
excelência(3x)
leveza(1x)
persistência(1x)
Receptividade a feedbacks(5x)
engajamento com o clube(1x)
Tato(1x)
</t>
  </si>
  <si>
    <t xml:space="preserve">Inovação(1x)
Atenção aos prazos(5x)
Participação nas demandas(1x)
Objetividade(3x)
Excelência(3x)
Transparência(6x)
Organização(9x)
Responsabilidade coletiva(1x)
Buscar ser exemplo(1x)
Sentimento de dono(1x)
Protagonismo(2x)
Comunicação(2x)
Empenho na faculdade(1x)
Gestão de pessoas(3x)
Engajamento com o Clube(1x)
Responsabilidade coletiva(1x) 
Motivação(1x)
</t>
  </si>
  <si>
    <t xml:space="preserve">Sentimento de dono(1x)
Protagonismo(4x)
Amizade(1x)
Feedbacks(2x)
Transparência(1x)
Organização(2x)
Motivação(2x)
Participação em outras demandas(1x) 
Excelência(1x)
Comunicação(3x)
Responsabilidade coletiva(2x)
</t>
  </si>
  <si>
    <t xml:space="preserve">Organização(6x)
Transparência(8x)
Obsessão pelo aprendizado(7x)
Comunicação(2x)
Senso crítico(1x)
Senso de urgência(1x)
Postura(2x)
Proatividade(1x)
Tom(1x)
</t>
  </si>
  <si>
    <t xml:space="preserve">Organização(6x)
Transparência(3x)
Comunicação(4x)
Liderança(2x)
Inteligência emocional em momentos de estresse(2x)
Inovação(2x)
Relação com clientes/pessoas externas(1x)
Protagonismo(6x)
Conciliação com a faculdade(2x)
Participação em reunião(2x)
Visão estratégica(2x)
</t>
  </si>
  <si>
    <t xml:space="preserve">Postura(2x)
Amizade(1x)
Comunicação(4x)
Constância(1x)
Transparência(4x)
Inteligência emocional(1x)
Inovação(1x)
Delegar tarefa(3x)
Protagonismo(1x)
Problem solving(1x)
Visão estratégica(1x)
Gestão de pessoas(3x)
Tom(1x)
</t>
  </si>
  <si>
    <t xml:space="preserve">Sentimento de dono(1x)
Comunicação(1x)
Feedbacks(1x)
Organização(5x)
Liderança(2x)
Protagonismo(3x)
Postura(2x)
Amizade(1x)
Responsabilidade Coletiva(2x)
Senso estratégico(1x)
Participação em reunião(2x)
</t>
  </si>
  <si>
    <t xml:space="preserve">Organização(8x)
Excelência(6x)
Pensamento estratégico(2x)
Protagonismo(3x)
Transparência(1x)
Foco(1x)
Constância(1x)
Comunicação(1x)
Amizade(2x)
Receptividade a feedbacks(1x)
Responsabilidade Coletiva(2x)
Postura(1x)
Motivação(1x)
</t>
  </si>
  <si>
    <t xml:space="preserve">Protagonismo(3x)
Inovação(3x)
Transparência(6x)
Obsessão pelo aprendizado(1x)
Mentalidade de fundador(2x)
Tom e tato(1x)
Sentimento de Clube(2x)
Postura(5x)
Senso crítico(2x)
Comunicação(3x)
Amizade(1x)
Fazer além do esperado(1x)
Responsabilidade Coletiva(2x)
</t>
  </si>
  <si>
    <t xml:space="preserve">Transparência (x10)
Organização (x4)
Obsessão pelo aprendizado (x4)
Postura (x4)
Participação nas demandas (x3)
Senso de urgência (x2)
Reconhecimento do esforço 
Cobrar somente o que faz
Senso crítico
</t>
  </si>
  <si>
    <t xml:space="preserve">Organização (x10)
Conciliação com a faculdade (x5)
Inovação (x4)
Obsessão pelo aprendizado (x4)
Objetividade (x3)
Transparência (x2)
Produtividade (x2)
Comunicação 
Disciplina
Senso de urgência
Apoio aos projetos
Responsabilidade coletiva
</t>
  </si>
  <si>
    <t xml:space="preserve">Obsessão pelo aprendizado (x5)
Participação em demandas e reuniões (x4)
Autoconfiança (x4)
Protagonismo (x4)
Sentimento de dono (x3)
Transparência (x3)
Amizade (x2)
Inteligência emocional
Inovação
Postura
</t>
  </si>
  <si>
    <t xml:space="preserve">Participação em reuniões e demandas (x7)
Pensamento estratégico (x5)
Protagonismo (x5)
Senso crítico (x3)
Sentimento de dono (x3)
Inovação (x3)
Transparência (x2)
Liderança (x2)
Comunicação (x2) 
Excelência
Qualidade dos feedbacks
</t>
  </si>
  <si>
    <t xml:space="preserve">Amizade (x8)
Mentalidade de fundador (x6)
Protagonismo (x5)
Obsessão pelo aprendizado (x4)
Participação nas demandas e na área (x3)
Responsabilidade coletiva
Tom
Qualidade nos feedbacks 
Comunicação contínua
Senso de urgência
Brilho nos olhos
</t>
  </si>
  <si>
    <t xml:space="preserve">Organização (x11)
Objetividade (x6)
Transparência (x5)
Senso crítico (x3)
Pensamento estratégico (x2)
Protagonismo (x2)
Comunicação (x2)
Produtividade (x2)
Autoconfiança (x2)
Sentimento de dono
Liderança
Participação em reuniões
Obsessão pelo aprendizado
</t>
  </si>
  <si>
    <t xml:space="preserve">Tato e tom (x5)
Organização (x3)
Comunicação (x2)
Planejamento de atividades (x2)
Flexibilidade (x2)
Amizade
Comunicação com outras áreas
Humildade
Planejamento estratégico
Percepção da situação/das pessoas
Transparência
Objetividade
</t>
  </si>
  <si>
    <t xml:space="preserve">Organização (x8)
Postura (x5)
Excelência (x5)
Pensamento estratégico (X2)
Compreensão (x2)
Comprometimento (x2)
Cumprimento de prazos (x2)
Produtividade
Obsessão pelo aprendizado
Protagonismo
Domínio de hard skills
Participação na reunião da fábrica
</t>
  </si>
  <si>
    <t xml:space="preserve">Organização (x9)
Participação em reuniões (x3) 
Obsessão pelo aprendizado (x3)
Capricho (x2)
Transparência (x2)
Sentimento de dono (x2)
Mentalidade de fundador 
Senso crítico
Senso estético
Inovação
Liderança
Protagonismo
Obsessão pelo desenvolvimento
</t>
  </si>
  <si>
    <t xml:space="preserve">Postura (x6)
Protagonismo (x5)
Tato e tom (x4)
Receptividade a feedbacks (x4)
Feedbacks completos (x2)
Objetividade na fala (x2)
Comunicação (x2)
Transparência (x2)
Liderança (x2)
Autocrítica
Brilho nos olhos
Comunicação (x2)
Excelência
Visão estratégica
Flexibilidade
Apoio à outras demandas
</t>
  </si>
  <si>
    <t xml:space="preserve">Organização (x5)
Motivação (x4)
Autoconfiança (x3)
Protagonismo (x3)
Obsessão pelo aprendizado (x3)
Excelência (x3)
Participação em reuniões da fábrica (x2) 
Inteligência emocional (x2) 
Procrastinação
Comprometimento com a faculdade 
Velocidade da fala 
</t>
  </si>
  <si>
    <t xml:space="preserve">Gestão de pessoas(1x)
Organização(1x)
Autoconfiança(2x)
Participação em outras áreas(1x)
Firmeza(1x)
Participação em capacitações(1x)
Transparência(3x)
Inovação(2x)
Senso crítico(3x)
</t>
  </si>
  <si>
    <t>Liderança(1x)
Senso crítico(1x)
Postura em momentos mais sérios(1x)
Comunização(3x)
Receptividade a alguns feedbacks(1x)
Obsessão pelo aprendizado(1x)
Participação em outras áreas(1x)
Mentalidade de fundador(2x)
Transparência(4x)
Tom(2x)
Protagonismo(4x)
Excelência(2x)
Senso de urgência(2x)
Responsabilidade(1x)</t>
  </si>
  <si>
    <t xml:space="preserve">Inovação(2x)
Protagonismo(2x)
Organização(9x)
Obsessão pelo aprendizado(2x)
Mentalidade de fundador(2x)
Postura(2x)
Senso de urgência(1)
Transparência(3x)
Excelência(6x)
Qualidade de feedbacks(3x)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</si>
</sst>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47">
    <font>
      <sz val="11.0"/>
      <color rgb="FF000000"/>
      <name val="Calibri"/>
    </font>
    <font/>
    <font>
      <sz val="11.0"/>
      <name val="Roboto"/>
    </font>
    <font>
      <sz val="18.0"/>
      <color rgb="FF000000"/>
      <name val="Hammersmith One"/>
    </font>
    <font>
      <b/>
      <sz val="50.0"/>
      <color rgb="FFFFFF00"/>
      <name val="Hammersmith One"/>
    </font>
    <font>
      <sz val="30.0"/>
      <color rgb="FF000000"/>
      <name val="Hammersmith One"/>
    </font>
    <font>
      <b/>
      <sz val="16.0"/>
      <color rgb="FF262626"/>
      <name val="Hammersmith One"/>
    </font>
    <font>
      <sz val="16.0"/>
      <name val="Roboto"/>
    </font>
    <font>
      <sz val="11.0"/>
      <name val="Montserrat"/>
    </font>
    <font>
      <sz val="11.0"/>
      <color rgb="FFFFFFFF"/>
      <name val="Montserrat"/>
    </font>
    <font>
      <sz val="11.0"/>
      <color rgb="FFFFFFFF"/>
      <name val="Roboto"/>
    </font>
    <font>
      <sz val="14.0"/>
      <color rgb="FF000000"/>
      <name val="Hammersmith One"/>
    </font>
    <font>
      <sz val="13.0"/>
      <color rgb="FFFAD419"/>
      <name val="Hammersmith One"/>
    </font>
    <font>
      <sz val="12.0"/>
      <color rgb="FFFFFFFF"/>
      <name val="Montserrat"/>
    </font>
    <font>
      <sz val="10.0"/>
      <color rgb="FFFFFFFF"/>
      <name val="Montserrat"/>
    </font>
    <font>
      <sz val="11.0"/>
      <color rgb="FFFFFFFF"/>
      <name val="Calibri"/>
    </font>
    <font>
      <sz val="12.0"/>
      <color rgb="FFD9D9D9"/>
      <name val="Roboto"/>
    </font>
    <font>
      <b/>
      <sz val="11.0"/>
      <color rgb="FFFFFFFF"/>
      <name val="Montserrat"/>
    </font>
    <font>
      <sz val="11.0"/>
      <name val="Calibri"/>
    </font>
    <font>
      <b/>
      <sz val="11.0"/>
      <color rgb="FF000000"/>
      <name val="Montserrat"/>
    </font>
    <font>
      <sz val="10.0"/>
      <color rgb="FF000000"/>
      <name val="Montserrat"/>
    </font>
    <font>
      <b/>
      <sz val="13.0"/>
      <color rgb="FFFFFFFF"/>
      <name val="Montserrat"/>
    </font>
    <font>
      <b/>
      <sz val="12.0"/>
      <color rgb="FFFFFFFF"/>
      <name val="Montserrat"/>
    </font>
    <font>
      <b/>
      <sz val="12.0"/>
      <color rgb="FF000000"/>
      <name val="Montserrat"/>
    </font>
    <font>
      <b/>
      <sz val="18.0"/>
      <color rgb="FFFFFFFF"/>
      <name val="Montserrat"/>
    </font>
    <font>
      <u/>
      <sz val="11.0"/>
      <color rgb="FFFFFFFF"/>
      <name val="Montserrat"/>
    </font>
    <font>
      <sz val="12.0"/>
      <color rgb="FFD9D9D9"/>
      <name val="Montserrat"/>
    </font>
    <font>
      <b/>
      <sz val="11.0"/>
      <name val="Montserrat"/>
    </font>
    <font>
      <sz val="14.0"/>
      <name val="&quot;Hammersmith One&quot;"/>
    </font>
    <font>
      <sz val="14.0"/>
      <color rgb="FFFFFFFF"/>
      <name val="Montserrat"/>
    </font>
    <font>
      <sz val="13.0"/>
      <color rgb="FFFFFFFF"/>
      <name val="Montserrat"/>
    </font>
    <font>
      <b/>
      <sz val="14.0"/>
      <color rgb="FFFFFFFF"/>
      <name val="Montserrat"/>
    </font>
    <font>
      <color rgb="FFFFFFFF"/>
      <name val="Montserrat"/>
    </font>
    <font>
      <sz val="14.0"/>
      <color rgb="FF000000"/>
      <name val="&quot;Hammersmith One&quot;"/>
    </font>
    <font>
      <color rgb="FF000000"/>
      <name val="Montserrat"/>
    </font>
    <font>
      <b/>
      <sz val="14.0"/>
      <color rgb="FFFFFFFF"/>
      <name val="Roboto"/>
    </font>
    <font>
      <b/>
      <sz val="11.0"/>
      <color rgb="FFFFFFFF"/>
      <name val="Roboto"/>
    </font>
    <font>
      <sz val="11.0"/>
      <color rgb="FFFFFFFF"/>
      <name val="Arial"/>
    </font>
    <font>
      <b/>
      <sz val="14.0"/>
      <color rgb="FFFFFFFF"/>
      <name val="Calibri"/>
    </font>
    <font>
      <b/>
      <sz val="13.0"/>
      <color rgb="FFFFFFFF"/>
      <name val="Calibri"/>
    </font>
    <font>
      <b/>
      <sz val="12.0"/>
      <color rgb="FFFFFFFF"/>
      <name val="Roboto"/>
    </font>
    <font>
      <sz val="9.0"/>
      <color rgb="FF595959"/>
    </font>
    <font>
      <b/>
      <sz val="13.0"/>
      <color rgb="FFF3F3F3"/>
      <name val="Calibri"/>
    </font>
    <font>
      <sz val="13.0"/>
      <color rgb="FFFFFFFF"/>
      <name val="Calibri"/>
    </font>
    <font>
      <sz val="13.0"/>
      <color rgb="FFFFFFFF"/>
      <name val="Roboto"/>
    </font>
    <font>
      <sz val="14.0"/>
      <color rgb="FFFFFFFF"/>
      <name val="&quot;Hammersmith One&quot;"/>
    </font>
    <font>
      <sz val="11.0"/>
      <color rgb="FFBDBDBD"/>
      <name val="Montserrat"/>
    </font>
  </fonts>
  <fills count="197">
    <fill>
      <patternFill patternType="none"/>
    </fill>
    <fill>
      <patternFill patternType="lightGray"/>
    </fill>
    <fill>
      <patternFill patternType="solid">
        <fgColor rgb="FF000000"/>
        <bgColor rgb="FF000000"/>
      </patternFill>
    </fill>
    <fill>
      <patternFill patternType="solid">
        <fgColor rgb="FFBDBDBD"/>
        <bgColor rgb="FFBDBDBD"/>
      </patternFill>
    </fill>
    <fill>
      <patternFill patternType="solid">
        <fgColor rgb="FFFAD419"/>
        <bgColor rgb="FFFAD419"/>
      </patternFill>
    </fill>
    <fill>
      <patternFill patternType="solid">
        <fgColor rgb="FF0C0C0C"/>
        <bgColor rgb="FF0C0C0C"/>
      </patternFill>
    </fill>
    <fill>
      <patternFill patternType="solid">
        <fgColor rgb="FF674EA7"/>
        <bgColor rgb="FF674EA7"/>
      </patternFill>
    </fill>
    <fill>
      <patternFill patternType="solid">
        <fgColor rgb="FFB4A7D6"/>
        <bgColor rgb="FFB4A7D6"/>
      </patternFill>
    </fill>
    <fill>
      <patternFill patternType="solid">
        <fgColor rgb="FF2EB04E"/>
        <bgColor rgb="FF2EB04E"/>
      </patternFill>
    </fill>
    <fill>
      <patternFill patternType="solid">
        <fgColor rgb="FF230F33"/>
        <bgColor rgb="FF230F33"/>
      </patternFill>
    </fill>
    <fill>
      <patternFill patternType="solid">
        <fgColor rgb="FF3F71AD"/>
        <bgColor rgb="FF3F71AD"/>
      </patternFill>
    </fill>
    <fill>
      <patternFill patternType="solid">
        <fgColor rgb="FF2F1443"/>
        <bgColor rgb="FF2F1443"/>
      </patternFill>
    </fill>
    <fill>
      <patternFill patternType="solid">
        <fgColor rgb="FF4C206C"/>
        <bgColor rgb="FF4C206C"/>
      </patternFill>
    </fill>
    <fill>
      <patternFill patternType="solid">
        <fgColor rgb="FF7030A0"/>
        <bgColor rgb="FF7030A0"/>
      </patternFill>
    </fill>
    <fill>
      <patternFill patternType="solid">
        <fgColor rgb="FF471E66"/>
        <bgColor rgb="FF471E66"/>
      </patternFill>
    </fill>
    <fill>
      <patternFill patternType="solid">
        <fgColor rgb="FF3C1956"/>
        <bgColor rgb="FF3C1956"/>
      </patternFill>
    </fill>
    <fill>
      <patternFill patternType="solid">
        <fgColor rgb="FF522376"/>
        <bgColor rgb="FF522376"/>
      </patternFill>
    </fill>
    <fill>
      <patternFill patternType="solid">
        <fgColor rgb="FF0B1420"/>
        <bgColor rgb="FF0B1420"/>
      </patternFill>
    </fill>
    <fill>
      <patternFill patternType="solid">
        <fgColor rgb="FF57257C"/>
        <bgColor rgb="FF57257C"/>
      </patternFill>
    </fill>
    <fill>
      <patternFill patternType="solid">
        <fgColor rgb="FF3D6DA8"/>
        <bgColor rgb="FF3D6DA8"/>
      </patternFill>
    </fill>
    <fill>
      <patternFill patternType="solid">
        <fgColor rgb="FF592680"/>
        <bgColor rgb="FF592680"/>
      </patternFill>
    </fill>
    <fill>
      <patternFill patternType="solid">
        <fgColor rgb="FF3C78D8"/>
        <bgColor rgb="FF3C78D8"/>
      </patternFill>
    </fill>
    <fill>
      <patternFill patternType="solid">
        <fgColor rgb="FFA4C2F4"/>
        <bgColor rgb="FFA4C2F4"/>
      </patternFill>
    </fill>
    <fill>
      <patternFill patternType="solid">
        <fgColor rgb="FF040106"/>
        <bgColor rgb="FF040106"/>
      </patternFill>
    </fill>
    <fill>
      <patternFill patternType="solid">
        <fgColor rgb="FF04080C"/>
        <bgColor rgb="FF04080C"/>
      </patternFill>
    </fill>
    <fill>
      <patternFill patternType="solid">
        <fgColor rgb="FF3E1A59"/>
        <bgColor rgb="FF3E1A59"/>
      </patternFill>
    </fill>
    <fill>
      <patternFill patternType="solid">
        <fgColor rgb="FF431C60"/>
        <bgColor rgb="FF431C60"/>
      </patternFill>
    </fill>
    <fill>
      <patternFill patternType="solid">
        <fgColor rgb="FF502273"/>
        <bgColor rgb="FF502273"/>
      </patternFill>
    </fill>
    <fill>
      <patternFill patternType="solid">
        <fgColor rgb="FF6D2F9C"/>
        <bgColor rgb="FF6D2F9C"/>
      </patternFill>
    </fill>
    <fill>
      <patternFill patternType="solid">
        <fgColor rgb="FF331649"/>
        <bgColor rgb="FF331649"/>
      </patternFill>
    </fill>
    <fill>
      <patternFill patternType="solid">
        <fgColor rgb="FF380300"/>
        <bgColor rgb="FF380300"/>
      </patternFill>
    </fill>
    <fill>
      <patternFill patternType="solid">
        <fgColor rgb="FF2A0200"/>
        <bgColor rgb="FF2A0200"/>
      </patternFill>
    </fill>
    <fill>
      <patternFill patternType="solid">
        <fgColor rgb="FF692D96"/>
        <bgColor rgb="FF692D96"/>
      </patternFill>
    </fill>
    <fill>
      <patternFill patternType="solid">
        <fgColor rgb="FF281139"/>
        <bgColor rgb="FF281139"/>
      </patternFill>
    </fill>
    <fill>
      <patternFill patternType="solid">
        <fgColor rgb="FF2CA53A"/>
        <bgColor rgb="FF2CA53A"/>
      </patternFill>
    </fill>
    <fill>
      <patternFill patternType="solid">
        <fgColor rgb="FFB6D7A8"/>
        <bgColor rgb="FFB6D7A8"/>
      </patternFill>
    </fill>
    <fill>
      <patternFill patternType="solid">
        <fgColor rgb="FF1A0B26"/>
        <bgColor rgb="FF1A0B26"/>
      </patternFill>
    </fill>
    <fill>
      <patternFill patternType="solid">
        <fgColor rgb="FF244265"/>
        <bgColor rgb="FF244265"/>
      </patternFill>
    </fill>
    <fill>
      <patternFill patternType="solid">
        <fgColor rgb="FF0A0000"/>
        <bgColor rgb="FF0A0000"/>
      </patternFill>
    </fill>
    <fill>
      <patternFill patternType="solid">
        <fgColor rgb="FF110719"/>
        <bgColor rgb="FF110719"/>
      </patternFill>
    </fill>
    <fill>
      <patternFill patternType="solid">
        <fgColor rgb="FF491F69"/>
        <bgColor rgb="FF491F69"/>
      </patternFill>
    </fill>
    <fill>
      <patternFill patternType="solid">
        <fgColor rgb="FF5B2783"/>
        <bgColor rgb="FF5B2783"/>
      </patternFill>
    </fill>
    <fill>
      <patternFill patternType="solid">
        <fgColor rgb="FF2E0200"/>
        <bgColor rgb="FF2E0200"/>
      </patternFill>
    </fill>
    <fill>
      <patternFill patternType="solid">
        <fgColor rgb="FF180A23"/>
        <bgColor rgb="FF180A23"/>
      </patternFill>
    </fill>
    <fill>
      <patternFill patternType="solid">
        <fgColor rgb="FFCE0C00"/>
        <bgColor rgb="FFCE0C00"/>
      </patternFill>
    </fill>
    <fill>
      <patternFill patternType="solid">
        <fgColor rgb="FFFFE599"/>
        <bgColor rgb="FFFFE599"/>
      </patternFill>
    </fill>
    <fill>
      <patternFill patternType="solid">
        <fgColor rgb="FF552479"/>
        <bgColor rgb="FF552479"/>
      </patternFill>
    </fill>
    <fill>
      <patternFill patternType="solid">
        <fgColor rgb="FF35174C"/>
        <bgColor rgb="FF35174C"/>
      </patternFill>
    </fill>
    <fill>
      <patternFill patternType="solid">
        <fgColor rgb="FF142538"/>
        <bgColor rgb="FF142538"/>
      </patternFill>
    </fill>
    <fill>
      <patternFill patternType="solid">
        <fgColor rgb="FF622A8C"/>
        <bgColor rgb="FF622A8C"/>
      </patternFill>
    </fill>
    <fill>
      <patternFill patternType="solid">
        <fgColor rgb="FF081018"/>
        <bgColor rgb="FF081018"/>
      </patternFill>
    </fill>
    <fill>
      <patternFill patternType="solid">
        <fgColor rgb="FF160920"/>
        <bgColor rgb="FF160920"/>
      </patternFill>
    </fill>
    <fill>
      <patternFill patternType="solid">
        <fgColor rgb="FF6A0600"/>
        <bgColor rgb="FF6A0600"/>
      </patternFill>
    </fill>
    <fill>
      <patternFill patternType="solid">
        <fgColor rgb="FFF58821"/>
        <bgColor rgb="FFF58821"/>
      </patternFill>
    </fill>
    <fill>
      <patternFill patternType="solid">
        <fgColor rgb="FFF9CB9C"/>
        <bgColor rgb="FFF9CB9C"/>
      </patternFill>
    </fill>
    <fill>
      <patternFill patternType="solid">
        <fgColor rgb="FF1F0D2C"/>
        <bgColor rgb="FF1F0D2C"/>
      </patternFill>
    </fill>
    <fill>
      <patternFill patternType="solid">
        <fgColor rgb="FF311546"/>
        <bgColor rgb="FF311546"/>
      </patternFill>
    </fill>
    <fill>
      <patternFill patternType="solid">
        <fgColor rgb="FF550500"/>
        <bgColor rgb="FF550500"/>
      </patternFill>
    </fill>
    <fill>
      <patternFill patternType="solid">
        <fgColor rgb="FF451D63"/>
        <bgColor rgb="FF451D63"/>
      </patternFill>
    </fill>
    <fill>
      <patternFill patternType="solid">
        <fgColor rgb="FF602989"/>
        <bgColor rgb="FF602989"/>
      </patternFill>
    </fill>
    <fill>
      <patternFill patternType="solid">
        <fgColor rgb="FF210E30"/>
        <bgColor rgb="FF210E30"/>
      </patternFill>
    </fill>
    <fill>
      <patternFill patternType="solid">
        <fgColor rgb="FF345D8F"/>
        <bgColor rgb="FF345D8F"/>
      </patternFill>
    </fill>
    <fill>
      <patternFill patternType="solid">
        <fgColor rgb="FF261036"/>
        <bgColor rgb="FF261036"/>
      </patternFill>
    </fill>
    <fill>
      <patternFill patternType="solid">
        <fgColor rgb="FF14081C"/>
        <bgColor rgb="FF14081C"/>
      </patternFill>
    </fill>
    <fill>
      <patternFill patternType="solid">
        <fgColor rgb="FFCC0000"/>
        <bgColor rgb="FFCC0000"/>
      </patternFill>
    </fill>
    <fill>
      <patternFill patternType="solid">
        <fgColor rgb="FFEA9999"/>
        <bgColor rgb="FFEA9999"/>
      </patternFill>
    </fill>
    <fill>
      <patternFill patternType="solid">
        <fgColor rgb="FFF90F01"/>
        <bgColor rgb="FFF90F01"/>
      </patternFill>
    </fill>
    <fill>
      <patternFill patternType="solid">
        <fgColor rgb="FF8A0800"/>
        <bgColor rgb="FF8A0800"/>
      </patternFill>
    </fill>
    <fill>
      <patternFill patternType="solid">
        <fgColor rgb="FF020407"/>
        <bgColor rgb="FF020407"/>
      </patternFill>
    </fill>
    <fill>
      <patternFill patternType="solid">
        <fgColor rgb="FF401B5C"/>
        <bgColor rgb="FF401B5C"/>
      </patternFill>
    </fill>
    <fill>
      <patternFill patternType="solid">
        <fgColor rgb="FF05090E"/>
        <bgColor rgb="FF05090E"/>
      </patternFill>
    </fill>
    <fill>
      <patternFill patternType="solid">
        <fgColor rgb="FF2CA52A"/>
        <bgColor rgb="FF2CA52A"/>
      </patternFill>
    </fill>
    <fill>
      <patternFill patternType="solid">
        <fgColor rgb="FF0B0410"/>
        <bgColor rgb="FF0B0410"/>
      </patternFill>
    </fill>
    <fill>
      <patternFill patternType="solid">
        <fgColor rgb="FF470400"/>
        <bgColor rgb="FF470400"/>
      </patternFill>
    </fill>
    <fill>
      <patternFill patternType="solid">
        <fgColor rgb="FF2C1340"/>
        <bgColor rgb="FF2C1340"/>
      </patternFill>
    </fill>
    <fill>
      <patternFill patternType="solid">
        <fgColor rgb="FF670600"/>
        <bgColor rgb="FF670600"/>
      </patternFill>
    </fill>
    <fill>
      <patternFill patternType="solid">
        <fgColor rgb="FF381850"/>
        <bgColor rgb="FF381850"/>
      </patternFill>
    </fill>
    <fill>
      <patternFill patternType="solid">
        <fgColor rgb="FF2D527E"/>
        <bgColor rgb="FF2D527E"/>
      </patternFill>
    </fill>
    <fill>
      <patternFill patternType="solid">
        <fgColor rgb="FF030000"/>
        <bgColor rgb="FF030000"/>
      </patternFill>
    </fill>
    <fill>
      <patternFill patternType="solid">
        <fgColor rgb="FF1D0C29"/>
        <bgColor rgb="FF1D0C29"/>
      </patternFill>
    </fill>
    <fill>
      <patternFill patternType="solid">
        <fgColor rgb="FF2A123C"/>
        <bgColor rgb="FF2A123C"/>
      </patternFill>
    </fill>
    <fill>
      <patternFill patternType="solid">
        <fgColor rgb="FF2A4B74"/>
        <bgColor rgb="FF2A4B74"/>
      </patternFill>
    </fill>
    <fill>
      <patternFill patternType="solid">
        <fgColor rgb="FF780700"/>
        <bgColor rgb="FF780700"/>
      </patternFill>
    </fill>
    <fill>
      <patternFill patternType="solid">
        <fgColor rgb="FF28486F"/>
        <bgColor rgb="FF28486F"/>
      </patternFill>
    </fill>
    <fill>
      <patternFill patternType="solid">
        <fgColor rgb="FF0F0616"/>
        <bgColor rgb="FF0F0616"/>
      </patternFill>
    </fill>
    <fill>
      <patternFill patternType="solid">
        <fgColor rgb="FF310200"/>
        <bgColor rgb="FF310200"/>
      </patternFill>
    </fill>
    <fill>
      <patternFill patternType="solid">
        <fgColor rgb="FFA00900"/>
        <bgColor rgb="FFA00900"/>
      </patternFill>
    </fill>
    <fill>
      <patternFill patternType="solid">
        <fgColor rgb="FF1A2E47"/>
        <bgColor rgb="FF1A2E47"/>
      </patternFill>
    </fill>
    <fill>
      <patternFill patternType="solid">
        <fgColor rgb="FFAE0A00"/>
        <bgColor rgb="FFAE0A00"/>
      </patternFill>
    </fill>
    <fill>
      <patternFill patternType="solid">
        <fgColor rgb="FF750700"/>
        <bgColor rgb="FF750700"/>
      </patternFill>
    </fill>
    <fill>
      <patternFill patternType="solid">
        <fgColor rgb="FF830700"/>
        <bgColor rgb="FF830700"/>
      </patternFill>
    </fill>
    <fill>
      <patternFill patternType="solid">
        <fgColor rgb="FFE70D00"/>
        <bgColor rgb="FFE70D00"/>
      </patternFill>
    </fill>
    <fill>
      <patternFill patternType="solid">
        <fgColor rgb="FF3A1853"/>
        <bgColor rgb="FF3A1853"/>
      </patternFill>
    </fill>
    <fill>
      <patternFill patternType="solid">
        <fgColor rgb="FF5E2886"/>
        <bgColor rgb="FF5E2886"/>
      </patternFill>
    </fill>
    <fill>
      <patternFill patternType="solid">
        <fgColor rgb="FFE00D00"/>
        <bgColor rgb="FFE00D00"/>
      </patternFill>
    </fill>
    <fill>
      <patternFill patternType="solid">
        <fgColor rgb="FF112031"/>
        <bgColor rgb="FF112031"/>
      </patternFill>
    </fill>
    <fill>
      <patternFill patternType="solid">
        <fgColor rgb="FF0D0513"/>
        <bgColor rgb="FF0D0513"/>
      </patternFill>
    </fill>
    <fill>
      <patternFill patternType="solid">
        <fgColor rgb="FF630600"/>
        <bgColor rgb="FF630600"/>
      </patternFill>
    </fill>
    <fill>
      <patternFill patternType="solid">
        <fgColor rgb="FF325A8A"/>
        <bgColor rgb="FF325A8A"/>
      </patternFill>
    </fill>
    <fill>
      <patternFill patternType="solid">
        <fgColor rgb="FF070000"/>
        <bgColor rgb="FF070000"/>
      </patternFill>
    </fill>
    <fill>
      <patternFill patternType="solid">
        <fgColor rgb="FF6B2E99"/>
        <bgColor rgb="FF6B2E99"/>
      </patternFill>
    </fill>
    <fill>
      <patternFill patternType="solid">
        <fgColor rgb="FF08030C"/>
        <bgColor rgb="FF08030C"/>
      </patternFill>
    </fill>
    <fill>
      <patternFill patternType="solid">
        <fgColor rgb="FF150100"/>
        <bgColor rgb="FF150100"/>
      </patternFill>
    </fill>
    <fill>
      <patternFill patternType="solid">
        <fgColor rgb="FFB50A00"/>
        <bgColor rgb="FFB50A00"/>
      </patternFill>
    </fill>
    <fill>
      <patternFill patternType="solid">
        <fgColor rgb="FFDC0D00"/>
        <bgColor rgb="FFDC0D00"/>
      </patternFill>
    </fill>
    <fill>
      <patternFill patternType="solid">
        <fgColor rgb="FFEA0E00"/>
        <bgColor rgb="FFEA0E00"/>
      </patternFill>
    </fill>
    <fill>
      <patternFill patternType="solid">
        <fgColor rgb="FF870800"/>
        <bgColor rgb="FF870800"/>
      </patternFill>
    </fill>
    <fill>
      <patternFill patternType="solid">
        <fgColor rgb="FF172940"/>
        <bgColor rgb="FF172940"/>
      </patternFill>
    </fill>
    <fill>
      <patternFill patternType="solid">
        <fgColor rgb="FF03060A"/>
        <bgColor rgb="FF03060A"/>
      </patternFill>
    </fill>
    <fill>
      <patternFill patternType="solid">
        <fgColor rgb="FF030508"/>
        <bgColor rgb="FF030508"/>
      </patternFill>
    </fill>
    <fill>
      <patternFill patternType="solid">
        <fgColor rgb="FF010304"/>
        <bgColor rgb="FF010304"/>
      </patternFill>
    </fill>
    <fill>
      <patternFill patternType="solid">
        <fgColor rgb="FF020003"/>
        <bgColor rgb="FF020003"/>
      </patternFill>
    </fill>
    <fill>
      <patternFill patternType="solid">
        <fgColor rgb="FF060209"/>
        <bgColor rgb="FF060209"/>
      </patternFill>
    </fill>
    <fill>
      <patternFill patternType="solid">
        <fgColor rgb="FF0C1622"/>
        <bgColor rgb="FF0C1622"/>
      </patternFill>
    </fill>
    <fill>
      <patternFill patternType="solid">
        <fgColor rgb="FF110100"/>
        <bgColor rgb="FF110100"/>
      </patternFill>
    </fill>
    <fill>
      <patternFill patternType="solid">
        <fgColor rgb="FF580500"/>
        <bgColor rgb="FF580500"/>
      </patternFill>
    </fill>
    <fill>
      <patternFill patternType="solid">
        <fgColor rgb="FFC30B00"/>
        <bgColor rgb="FFC30B00"/>
      </patternFill>
    </fill>
    <fill>
      <patternFill patternType="solid">
        <fgColor rgb="FF710600"/>
        <bgColor rgb="FF710600"/>
      </patternFill>
    </fill>
    <fill>
      <patternFill patternType="solid">
        <fgColor rgb="FFC70C00"/>
        <bgColor rgb="FFC70C00"/>
      </patternFill>
    </fill>
    <fill>
      <patternFill patternType="solid">
        <fgColor rgb="FF200100"/>
        <bgColor rgb="FF200100"/>
      </patternFill>
    </fill>
    <fill>
      <patternFill patternType="solid">
        <fgColor rgb="FFD50C00"/>
        <bgColor rgb="FFD50C00"/>
      </patternFill>
    </fill>
    <fill>
      <patternFill patternType="solid">
        <fgColor rgb="FF5C0500"/>
        <bgColor rgb="FF5C0500"/>
      </patternFill>
    </fill>
    <fill>
      <patternFill patternType="solid">
        <fgColor rgb="FF980900"/>
        <bgColor rgb="FF980900"/>
      </patternFill>
    </fill>
    <fill>
      <patternFill patternType="solid">
        <fgColor rgb="FF6E0600"/>
        <bgColor rgb="FF6E0600"/>
      </patternFill>
    </fill>
    <fill>
      <patternFill patternType="solid">
        <fgColor rgb="FFBC0B00"/>
        <bgColor rgb="FFBC0B00"/>
      </patternFill>
    </fill>
    <fill>
      <patternFill patternType="solid">
        <fgColor rgb="FF642B90"/>
        <bgColor rgb="FF642B90"/>
      </patternFill>
    </fill>
    <fill>
      <patternFill patternType="solid">
        <fgColor rgb="FF1C0100"/>
        <bgColor rgb="FF1C0100"/>
      </patternFill>
    </fill>
    <fill>
      <patternFill patternType="solid">
        <fgColor rgb="FF1F3856"/>
        <bgColor rgb="FF1F3856"/>
      </patternFill>
    </fill>
    <fill>
      <patternFill patternType="solid">
        <fgColor rgb="FF192D45"/>
        <bgColor rgb="FF192D45"/>
      </patternFill>
    </fill>
    <fill>
      <patternFill patternType="solid">
        <fgColor rgb="FF4E2170"/>
        <bgColor rgb="FF4E2170"/>
      </patternFill>
    </fill>
    <fill>
      <patternFill patternType="solid">
        <fgColor rgb="FF180100"/>
        <bgColor rgb="FF180100"/>
      </patternFill>
    </fill>
    <fill>
      <patternFill patternType="solid">
        <fgColor rgb="FF2F5582"/>
        <bgColor rgb="FF2F5582"/>
      </patternFill>
    </fill>
    <fill>
      <patternFill patternType="solid">
        <fgColor rgb="FFCA0C00"/>
        <bgColor rgb="FFCA0C00"/>
      </patternFill>
    </fill>
    <fill>
      <patternFill patternType="solid">
        <fgColor rgb="FF1D3551"/>
        <bgColor rgb="FF1D3551"/>
      </patternFill>
    </fill>
    <fill>
      <patternFill patternType="solid">
        <fgColor rgb="FF600500"/>
        <bgColor rgb="FF600500"/>
      </patternFill>
    </fill>
    <fill>
      <patternFill patternType="solid">
        <fgColor rgb="FF230200"/>
        <bgColor rgb="FF230200"/>
      </patternFill>
    </fill>
    <fill>
      <patternFill patternType="solid">
        <fgColor rgb="FF2C4F79"/>
        <bgColor rgb="FF2C4F79"/>
      </patternFill>
    </fill>
    <fill>
      <patternFill patternType="solid">
        <fgColor rgb="FF672C93"/>
        <bgColor rgb="FF672C93"/>
      </patternFill>
    </fill>
    <fill>
      <patternFill patternType="solid">
        <fgColor rgb="FF800700"/>
        <bgColor rgb="FF800700"/>
      </patternFill>
    </fill>
    <fill>
      <patternFill patternType="solid">
        <fgColor rgb="FF1E3654"/>
        <bgColor rgb="FF1E3654"/>
      </patternFill>
    </fill>
    <fill>
      <patternFill patternType="solid">
        <fgColor rgb="FF080F17"/>
        <bgColor rgb="FF080F17"/>
      </patternFill>
    </fill>
    <fill>
      <patternFill patternType="solid">
        <fgColor rgb="FF2D517C"/>
        <bgColor rgb="FF2D517C"/>
      </patternFill>
    </fill>
    <fill>
      <patternFill patternType="solid">
        <fgColor rgb="FF1C324D"/>
        <bgColor rgb="FF1C324D"/>
      </patternFill>
    </fill>
    <fill>
      <patternFill patternType="solid">
        <fgColor rgb="FF355F91"/>
        <bgColor rgb="FF355F91"/>
      </patternFill>
    </fill>
    <fill>
      <patternFill patternType="solid">
        <fgColor rgb="FF26456A"/>
        <bgColor rgb="FF26456A"/>
      </patternFill>
    </fill>
    <fill>
      <patternFill patternType="solid">
        <fgColor rgb="FF233E60"/>
        <bgColor rgb="FF233E60"/>
      </patternFill>
    </fill>
    <fill>
      <patternFill patternType="solid">
        <fgColor rgb="FF080E16"/>
        <bgColor rgb="FF080E16"/>
      </patternFill>
    </fill>
    <fill>
      <patternFill patternType="solid">
        <fgColor rgb="FF910800"/>
        <bgColor rgb="FF910800"/>
      </patternFill>
    </fill>
    <fill>
      <patternFill patternType="solid">
        <fgColor rgb="FF1C334F"/>
        <bgColor rgb="FF1C334F"/>
      </patternFill>
    </fill>
    <fill>
      <patternFill patternType="solid">
        <fgColor rgb="FF182B42"/>
        <bgColor rgb="FF182B42"/>
      </patternFill>
    </fill>
    <fill>
      <patternFill patternType="solid">
        <fgColor rgb="FF0D1825"/>
        <bgColor rgb="FF0D1825"/>
      </patternFill>
    </fill>
    <fill>
      <patternFill patternType="solid">
        <fgColor rgb="FF030609"/>
        <bgColor rgb="FF030609"/>
      </patternFill>
    </fill>
    <fill>
      <patternFill patternType="solid">
        <fgColor rgb="FF7C0700"/>
        <bgColor rgb="FF7C0700"/>
      </patternFill>
    </fill>
    <fill>
      <patternFill patternType="solid">
        <fgColor rgb="FFB80B00"/>
        <bgColor rgb="FFB80B00"/>
      </patternFill>
    </fill>
    <fill>
      <patternFill patternType="solid">
        <fgColor rgb="FF39679E"/>
        <bgColor rgb="FF39679E"/>
      </patternFill>
    </fill>
    <fill>
      <patternFill patternType="solid">
        <fgColor rgb="FF203A58"/>
        <bgColor rgb="FF203A58"/>
      </patternFill>
    </fill>
    <fill>
      <patternFill patternType="solid">
        <fgColor rgb="FF060B11"/>
        <bgColor rgb="FF060B11"/>
      </patternFill>
    </fill>
    <fill>
      <patternFill patternType="solid">
        <fgColor rgb="FF8E0800"/>
        <bgColor rgb="FF8E0800"/>
      </patternFill>
    </fill>
    <fill>
      <patternFill patternType="solid">
        <fgColor rgb="FF0E0000"/>
        <bgColor rgb="FF0E0000"/>
      </patternFill>
    </fill>
    <fill>
      <patternFill patternType="solid">
        <fgColor rgb="FFD80D00"/>
        <bgColor rgb="FFD80D00"/>
      </patternFill>
    </fill>
    <fill>
      <patternFill patternType="solid">
        <fgColor rgb="FFAA0A00"/>
        <bgColor rgb="FFAA0A00"/>
      </patternFill>
    </fill>
    <fill>
      <patternFill patternType="solid">
        <fgColor rgb="FF213B5B"/>
        <bgColor rgb="FF213B5B"/>
      </patternFill>
    </fill>
    <fill>
      <patternFill patternType="solid">
        <fgColor rgb="FF000102"/>
        <bgColor rgb="FF000102"/>
      </patternFill>
    </fill>
    <fill>
      <patternFill patternType="solid">
        <fgColor rgb="FFEE0E00"/>
        <bgColor rgb="FFEE0E00"/>
      </patternFill>
    </fill>
    <fill>
      <patternFill patternType="solid">
        <fgColor rgb="FF070C13"/>
        <bgColor rgb="FF070C13"/>
      </patternFill>
    </fill>
    <fill>
      <patternFill patternType="solid">
        <fgColor rgb="FF950900"/>
        <bgColor rgb="FF950900"/>
      </patternFill>
    </fill>
    <fill>
      <patternFill patternType="solid">
        <fgColor rgb="FFD10C00"/>
        <bgColor rgb="FFD10C00"/>
      </patternFill>
    </fill>
    <fill>
      <patternFill patternType="solid">
        <fgColor rgb="FF1D3450"/>
        <bgColor rgb="FF1D3450"/>
      </patternFill>
    </fill>
    <fill>
      <patternFill patternType="solid">
        <fgColor rgb="FF020406"/>
        <bgColor rgb="FF020406"/>
      </patternFill>
    </fill>
    <fill>
      <patternFill patternType="solid">
        <fgColor rgb="FF122133"/>
        <bgColor rgb="FF122133"/>
      </patternFill>
    </fill>
    <fill>
      <patternFill patternType="solid">
        <fgColor rgb="FF0A121C"/>
        <bgColor rgb="FF0A121C"/>
      </patternFill>
    </fill>
    <fill>
      <patternFill patternType="solid">
        <fgColor rgb="FF262626"/>
        <bgColor rgb="FF262626"/>
      </patternFill>
    </fill>
    <fill>
      <patternFill patternType="solid">
        <fgColor rgb="FF404040"/>
        <bgColor rgb="FF404040"/>
      </patternFill>
    </fill>
    <fill>
      <patternFill patternType="solid">
        <fgColor rgb="FF990000"/>
        <bgColor rgb="FF990000"/>
      </patternFill>
    </fill>
    <fill>
      <patternFill patternType="solid">
        <fgColor rgb="FFBF9000"/>
        <bgColor rgb="FFBF9000"/>
      </patternFill>
    </fill>
    <fill>
      <patternFill patternType="solid">
        <fgColor rgb="FF244061"/>
        <bgColor rgb="FF244061"/>
      </patternFill>
    </fill>
    <fill>
      <patternFill patternType="solid">
        <fgColor rgb="FF366092"/>
        <bgColor rgb="FF366092"/>
      </patternFill>
    </fill>
    <fill>
      <patternFill patternType="solid">
        <fgColor rgb="FFFDC600"/>
        <bgColor rgb="FFFDC600"/>
      </patternFill>
    </fill>
    <fill>
      <patternFill patternType="solid">
        <fgColor rgb="FFF1C232"/>
        <bgColor rgb="FFF1C232"/>
      </patternFill>
    </fill>
    <fill>
      <patternFill patternType="solid">
        <fgColor rgb="FF205867"/>
        <bgColor rgb="FF205867"/>
      </patternFill>
    </fill>
    <fill>
      <patternFill patternType="solid">
        <fgColor rgb="FF31859B"/>
        <bgColor rgb="FF31859B"/>
      </patternFill>
    </fill>
    <fill>
      <patternFill patternType="solid">
        <fgColor rgb="FF6BC737"/>
        <bgColor rgb="FF6BC737"/>
      </patternFill>
    </fill>
    <fill>
      <patternFill patternType="solid">
        <fgColor rgb="FF4F6128"/>
        <bgColor rgb="FF4F6128"/>
      </patternFill>
    </fill>
    <fill>
      <patternFill patternType="solid">
        <fgColor rgb="FF76923C"/>
        <bgColor rgb="FF76923C"/>
      </patternFill>
    </fill>
    <fill>
      <patternFill patternType="solid">
        <fgColor rgb="FFFDD200"/>
        <bgColor rgb="FFFDD200"/>
      </patternFill>
    </fill>
    <fill>
      <patternFill patternType="solid">
        <fgColor rgb="FFAF8301"/>
        <bgColor rgb="FFAF8301"/>
      </patternFill>
    </fill>
    <fill>
      <patternFill patternType="solid">
        <fgColor rgb="FFCA9802"/>
        <bgColor rgb="FFCA9802"/>
      </patternFill>
    </fill>
    <fill>
      <patternFill patternType="solid">
        <fgColor rgb="FF974806"/>
        <bgColor rgb="FF974806"/>
      </patternFill>
    </fill>
    <fill>
      <patternFill patternType="solid">
        <fgColor rgb="FFE36C09"/>
        <bgColor rgb="FFE36C09"/>
      </patternFill>
    </fill>
    <fill>
      <patternFill patternType="solid">
        <fgColor rgb="FFA9DE1F"/>
        <bgColor rgb="FFA9DE1F"/>
      </patternFill>
    </fill>
    <fill>
      <patternFill patternType="solid">
        <fgColor rgb="FF632423"/>
        <bgColor rgb="FF632423"/>
      </patternFill>
    </fill>
    <fill>
      <patternFill patternType="solid">
        <fgColor rgb="FF953734"/>
        <bgColor rgb="FF953734"/>
      </patternFill>
    </fill>
    <fill>
      <patternFill patternType="solid">
        <fgColor rgb="FFF0F905"/>
        <bgColor rgb="FFF0F905"/>
      </patternFill>
    </fill>
    <fill>
      <patternFill patternType="solid">
        <fgColor rgb="FF00FF00"/>
        <bgColor rgb="FF00FF00"/>
      </patternFill>
    </fill>
    <fill>
      <patternFill patternType="solid">
        <fgColor rgb="FFAFD7A2"/>
        <bgColor rgb="FFAFD7A2"/>
      </patternFill>
    </fill>
    <fill>
      <patternFill patternType="solid">
        <fgColor rgb="FF43BC00"/>
        <bgColor rgb="FF43BC00"/>
      </patternFill>
    </fill>
    <fill>
      <patternFill patternType="solid">
        <fgColor rgb="FFFF0000"/>
        <bgColor rgb="FFFF0000"/>
      </patternFill>
    </fill>
  </fills>
  <borders count="119">
    <border/>
    <border>
      <left/>
      <right/>
      <top/>
      <bottom/>
    </border>
    <border>
      <bottom/>
    </border>
    <border>
      <right/>
      <bottom/>
    </border>
    <border>
      <right/>
    </border>
    <border>
      <right style="medium">
        <color rgb="FF262626"/>
      </right>
    </border>
    <border>
      <left/>
      <top/>
      <bottom/>
    </border>
    <border>
      <bottom style="medium">
        <color rgb="FF262626"/>
      </bottom>
    </border>
    <border>
      <right style="thin">
        <color rgb="FF000000"/>
      </right>
      <bottom style="medium">
        <color rgb="FF262626"/>
      </bottom>
    </border>
    <border>
      <top/>
      <bottom/>
    </border>
    <border>
      <left style="thin">
        <color rgb="FF000000"/>
      </left>
      <right style="medium">
        <color rgb="FF262626"/>
      </right>
    </border>
    <border>
      <right style="thin">
        <color rgb="FF000000"/>
      </right>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262626"/>
      </left>
      <right style="thin">
        <color rgb="FF262626"/>
      </right>
      <top style="thin">
        <color rgb="FF262626"/>
      </top>
      <bottom style="thin">
        <color rgb="FF262626"/>
      </bottom>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bottom style="thin">
        <color rgb="FFFFFFFF"/>
      </bottom>
    </border>
    <border>
      <left style="thin">
        <color rgb="FF000000"/>
      </left>
      <right style="thin">
        <color rgb="FF000000"/>
      </right>
      <top style="thin">
        <color rgb="FF000000"/>
      </top>
      <bottom style="thin">
        <color rgb="FFFFFFFF"/>
      </bottom>
    </border>
    <border>
      <left style="thin">
        <color rgb="FF262626"/>
      </left>
      <right style="thin">
        <color rgb="FF262626"/>
      </right>
      <top style="thin">
        <color rgb="FF262626"/>
      </top>
      <bottom style="thin">
        <color rgb="FFFFFFFF"/>
      </bottom>
    </border>
    <border>
      <left style="thin">
        <color rgb="FF262626"/>
      </left>
      <right style="thin">
        <color rgb="FF262626"/>
      </right>
      <bottom style="thin">
        <color rgb="FF262626"/>
      </bottom>
    </border>
    <border>
      <left style="thin">
        <color rgb="FF262626"/>
      </left>
      <right style="thin">
        <color rgb="FF262626"/>
      </right>
      <top style="thin">
        <color rgb="FF262626"/>
      </top>
    </border>
    <border>
      <left style="thin">
        <color rgb="FF000000"/>
      </left>
      <right style="thin">
        <color rgb="FF000000"/>
      </right>
      <top style="thin">
        <color rgb="FFFFFFFF"/>
      </top>
    </border>
    <border>
      <left style="thin">
        <color rgb="FF000000"/>
      </left>
      <right style="thin">
        <color rgb="FF000000"/>
      </right>
      <top style="thin">
        <color rgb="FFFFFFFF"/>
      </top>
      <bottom style="thin">
        <color rgb="FF000000"/>
      </bottom>
    </border>
    <border>
      <left style="thin">
        <color rgb="FF262626"/>
      </left>
      <right style="thin">
        <color rgb="FF262626"/>
      </right>
      <top style="thin">
        <color rgb="FFFFFFFF"/>
      </top>
      <bottom style="thin">
        <color rgb="FF262626"/>
      </bottom>
    </border>
    <border>
      <left/>
      <bottom/>
    </border>
    <border>
      <left/>
    </border>
    <border>
      <left style="medium">
        <color rgb="FF262626"/>
      </left>
      <top style="medium">
        <color rgb="FF262626"/>
      </top>
      <bottom style="medium">
        <color rgb="FF262626"/>
      </bottom>
    </border>
    <border>
      <top style="medium">
        <color rgb="FF262626"/>
      </top>
      <bottom style="medium">
        <color rgb="FF262626"/>
      </bottom>
    </border>
    <border>
      <right style="medium">
        <color rgb="FF262626"/>
      </right>
      <top style="medium">
        <color rgb="FF262626"/>
      </top>
      <bottom style="medium">
        <color rgb="FF262626"/>
      </bottom>
    </border>
    <border>
      <left style="thin">
        <color rgb="FF000000"/>
      </left>
    </border>
    <border>
      <left style="thin">
        <color rgb="FF000000"/>
      </left>
      <right style="medium">
        <color rgb="FF262626"/>
      </right>
      <bottom style="thin">
        <color rgb="FF000000"/>
      </bottom>
    </border>
    <border>
      <right style="medium">
        <color rgb="FF262626"/>
      </right>
      <bottom style="thin">
        <color rgb="FF000000"/>
      </bottom>
    </border>
    <border>
      <left/>
      <top/>
    </border>
    <border>
      <left style="medium">
        <color rgb="FF262626"/>
      </left>
      <top style="medium">
        <color rgb="FF262626"/>
      </top>
    </border>
    <border>
      <top style="medium">
        <color rgb="FF262626"/>
      </top>
    </border>
    <border>
      <right style="medium">
        <color rgb="FF262626"/>
      </right>
      <top style="medium">
        <color rgb="FF262626"/>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right style="medium">
        <color rgb="FF262626"/>
      </right>
      <bottom style="thin">
        <color rgb="FF202020"/>
      </bottom>
    </border>
    <border>
      <right style="thin">
        <color rgb="FF000000"/>
      </right>
      <bottom style="thin">
        <color rgb="FF202020"/>
      </bottom>
    </border>
    <border>
      <right style="thin">
        <color rgb="FF202020"/>
      </right>
      <bottom style="thin">
        <color rgb="FF000000"/>
      </bottom>
    </border>
    <border>
      <right style="thin">
        <color rgb="FF202020"/>
      </right>
    </border>
    <border>
      <right style="thin">
        <color rgb="FF202020"/>
      </right>
      <top style="thin">
        <color rgb="FF202020"/>
      </top>
      <bottom style="thin">
        <color rgb="FF202020"/>
      </bottom>
    </border>
    <border>
      <right style="thin">
        <color rgb="FF000000"/>
      </right>
      <top style="thin">
        <color rgb="FF202020"/>
      </top>
      <bottom style="thin">
        <color rgb="FF202020"/>
      </bottom>
    </border>
    <border>
      <right style="thin">
        <color rgb="FF202020"/>
      </right>
      <bottom style="thin">
        <color rgb="FF202020"/>
      </bottom>
    </border>
    <border>
      <left style="thin">
        <color rgb="FF0C0C0C"/>
      </left>
      <right style="thin">
        <color rgb="FF0C0C0C"/>
      </right>
      <top style="thin">
        <color rgb="FF0C0C0C"/>
      </top>
    </border>
    <border>
      <left style="thin">
        <color rgb="FF0C0C0C"/>
      </left>
      <right style="thin">
        <color rgb="FF0C0C0C"/>
      </right>
      <top style="thin">
        <color rgb="FF0C0C0C"/>
      </top>
      <bottom style="thin">
        <color rgb="FF0C0C0C"/>
      </bottom>
    </border>
    <border>
      <bottom style="thin">
        <color rgb="FFFFFFFF"/>
      </bottom>
    </border>
    <border>
      <left style="thin">
        <color rgb="FF0C0C0C"/>
      </left>
      <right style="thin">
        <color rgb="FF0C0C0C"/>
      </right>
      <bottom style="thin">
        <color rgb="FFFFFFFF"/>
      </bottom>
    </border>
    <border>
      <left style="thin">
        <color rgb="FF000000"/>
      </left>
      <right style="thin">
        <color rgb="FF202020"/>
      </right>
      <bottom style="thin">
        <color rgb="FFFFFFFF"/>
      </bottom>
    </border>
    <border>
      <right style="thin">
        <color rgb="FF202020"/>
      </right>
      <bottom style="thin">
        <color rgb="FFFFFFFF"/>
      </bottom>
    </border>
    <border>
      <right style="thin">
        <color rgb="FF000000"/>
      </right>
      <bottom style="thin">
        <color rgb="FFFFFFFF"/>
      </bottom>
    </border>
    <border>
      <right style="thin">
        <color rgb="FF202020"/>
      </right>
      <top style="thin">
        <color rgb="FFFFFFFF"/>
      </top>
    </border>
    <border>
      <right style="thin">
        <color rgb="FF202020"/>
      </right>
      <top style="thin">
        <color rgb="FFFFFFFF"/>
      </top>
      <bottom style="thin">
        <color rgb="FF000000"/>
      </bottom>
    </border>
    <border>
      <right style="thin">
        <color rgb="FF202020"/>
      </right>
      <top style="thin">
        <color rgb="FFFFFFFF"/>
      </top>
      <bottom style="thin">
        <color rgb="FF202020"/>
      </bottom>
    </border>
    <border>
      <right style="thin">
        <color rgb="FF000000"/>
      </right>
      <top style="thin">
        <color rgb="FFFFFFFF"/>
      </top>
      <bottom style="thin">
        <color rgb="FF202020"/>
      </bottom>
    </border>
    <border>
      <right style="thin">
        <color rgb="FF000000"/>
      </right>
      <top style="thin">
        <color rgb="FFFFFFFF"/>
      </top>
    </border>
    <border>
      <left style="thin">
        <color rgb="FF202020"/>
      </left>
      <right style="thin">
        <color rgb="FF202020"/>
      </right>
      <top style="thin">
        <color rgb="FF202020"/>
      </top>
      <bottom style="thin">
        <color rgb="FFFFFFFF"/>
      </bottom>
    </border>
    <border>
      <right style="thin">
        <color rgb="FF000000"/>
      </right>
      <top style="thin">
        <color rgb="FF202020"/>
      </top>
      <bottom style="thin">
        <color rgb="FFFFFFFF"/>
      </bottom>
    </border>
    <border>
      <left style="thin">
        <color rgb="FF202020"/>
      </left>
      <right style="thin">
        <color rgb="FF202020"/>
      </right>
    </border>
    <border>
      <left style="thin">
        <color rgb="FF202020"/>
      </left>
      <right style="thin">
        <color rgb="FF202020"/>
      </right>
      <top style="thin">
        <color rgb="FFFFFFFF"/>
      </top>
    </border>
    <border>
      <left style="thin">
        <color rgb="FF0C0C0C"/>
      </left>
      <right style="thin">
        <color rgb="FF0C0C0C"/>
      </right>
      <bottom style="thin">
        <color rgb="FF0C0C0C"/>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ttom style="thin">
        <color rgb="FF000000"/>
      </bottom>
    </border>
    <border>
      <left style="medium">
        <color rgb="FF262626"/>
      </left>
    </border>
    <border>
      <left style="thin">
        <color rgb="FF000000"/>
      </left>
      <top style="thin">
        <color rgb="FF000000"/>
      </top>
    </border>
    <border>
      <right style="thin">
        <color rgb="FF000000"/>
      </right>
      <top style="thin">
        <color rgb="FF000000"/>
      </top>
    </border>
    <border>
      <left style="medium">
        <color rgb="FF262626"/>
      </left>
      <right style="medium">
        <color rgb="FF262626"/>
      </right>
      <top style="medium">
        <color rgb="FF262626"/>
      </top>
      <bottom style="medium">
        <color rgb="FF262626"/>
      </bottom>
    </border>
    <border>
      <right style="thin">
        <color rgb="FF262626"/>
      </right>
      <top style="thin">
        <color rgb="FF262626"/>
      </top>
    </border>
    <border>
      <right style="thin">
        <color rgb="FF262626"/>
      </right>
    </border>
    <border>
      <right style="thin">
        <color rgb="FF262626"/>
      </right>
      <bottom style="thick">
        <color rgb="FFCCCCCC"/>
      </bottom>
    </border>
    <border>
      <right style="thin">
        <color rgb="FF262626"/>
      </right>
      <bottom style="thin">
        <color rgb="FF262626"/>
      </bottom>
    </border>
    <border>
      <right style="thin">
        <color rgb="FF262626"/>
      </right>
      <top style="thick">
        <color rgb="FFCCCCCC"/>
      </top>
    </border>
    <border>
      <bottom style="thick">
        <color rgb="FF262626"/>
      </bottom>
    </border>
    <border>
      <bottom style="thick">
        <color rgb="FFBFBFBF"/>
      </bottom>
    </border>
    <border>
      <right style="thin">
        <color rgb="FF262626"/>
      </right>
      <bottom style="thick">
        <color rgb="FFBFBFBF"/>
      </bottom>
    </border>
    <border>
      <top style="thin">
        <color rgb="FF262626"/>
      </top>
      <bottom style="thick">
        <color rgb="FFBFBFBF"/>
      </bottom>
    </border>
    <border>
      <right style="thin">
        <color rgb="FF262626"/>
      </right>
      <top style="thin">
        <color rgb="FF262626"/>
      </top>
      <bottom style="thick">
        <color rgb="FFBFBFBF"/>
      </bottom>
    </border>
    <border>
      <bottom style="thick">
        <color rgb="FFCCCCCC"/>
      </bottom>
    </border>
    <border>
      <right style="thin">
        <color rgb="FF262626"/>
      </right>
      <top style="thin">
        <color rgb="FF202020"/>
      </top>
    </border>
    <border>
      <right style="thin">
        <color rgb="FF202020"/>
      </right>
      <top style="thin">
        <color rgb="FF202020"/>
      </top>
      <bottom style="thin">
        <color rgb="FF000000"/>
      </bottom>
    </border>
    <border>
      <right style="thin">
        <color rgb="FF202020"/>
      </right>
      <top style="thin">
        <color rgb="FF202020"/>
      </top>
    </border>
    <border>
      <right style="thin">
        <color rgb="FF262626"/>
      </right>
      <bottom style="thin">
        <color rgb="FF000000"/>
      </bottom>
    </border>
    <border>
      <left style="thin">
        <color rgb="FF000000"/>
      </left>
      <right style="thin">
        <color rgb="FF202020"/>
      </right>
      <top style="thin">
        <color rgb="FF202020"/>
      </top>
    </border>
    <border>
      <left style="thin">
        <color rgb="FF000000"/>
      </left>
      <right style="thin">
        <color rgb="FF262626"/>
      </right>
      <top style="thin">
        <color rgb="FF202020"/>
      </top>
    </border>
    <border>
      <top style="thin">
        <color rgb="FF202020"/>
      </top>
      <bottom style="thin">
        <color rgb="FF202020"/>
      </bottom>
    </border>
    <border>
      <left style="thin">
        <color rgb="FF000000"/>
      </left>
      <right style="thin">
        <color rgb="FF202020"/>
      </right>
    </border>
    <border>
      <left style="thin">
        <color rgb="FF000000"/>
      </left>
      <right style="thin">
        <color rgb="FF262626"/>
      </right>
    </border>
    <border>
      <bottom style="thin">
        <color rgb="FF202020"/>
      </bottom>
    </border>
    <border>
      <left style="thin">
        <color rgb="FF000000"/>
      </left>
      <right style="thin">
        <color rgb="FF202020"/>
      </right>
      <bottom style="thin">
        <color rgb="FF000000"/>
      </bottom>
    </border>
    <border>
      <left style="thin">
        <color rgb="FF000000"/>
      </left>
      <right style="thin">
        <color rgb="FF262626"/>
      </right>
      <bottom style="thin">
        <color rgb="FF202020"/>
      </bottom>
    </border>
    <border>
      <left style="thin">
        <color rgb="FF000000"/>
      </left>
      <right style="thin">
        <color rgb="FF262626"/>
      </right>
      <bottom style="thin">
        <color rgb="FF000000"/>
      </bottom>
    </border>
    <border>
      <left style="thin">
        <color rgb="FF000000"/>
      </left>
      <right style="thin">
        <color rgb="FF262626"/>
      </right>
      <bottom style="thick">
        <color rgb="FFCCCCCC"/>
      </bottom>
    </border>
    <border>
      <left style="thin">
        <color rgb="FF000000"/>
      </left>
      <right style="thin">
        <color rgb="FF202020"/>
      </right>
      <top style="thin">
        <color rgb="FF000000"/>
      </top>
    </border>
    <border>
      <left style="thin">
        <color rgb="FF000000"/>
      </left>
      <right style="thin">
        <color rgb="FF202020"/>
      </right>
      <bottom style="thin">
        <color rgb="FF202020"/>
      </bottom>
    </border>
    <border>
      <left style="thin">
        <color rgb="FF000000"/>
      </left>
      <right style="thin">
        <color rgb="FF262626"/>
      </right>
      <top style="thin">
        <color rgb="FF000000"/>
      </top>
    </border>
    <border>
      <left style="thin">
        <color rgb="FF000000"/>
      </left>
      <right style="thin">
        <color rgb="FF000000"/>
      </right>
      <bottom style="thick">
        <color rgb="FFBFBFBF"/>
      </bottom>
    </border>
    <border>
      <left style="thin">
        <color rgb="FF000000"/>
      </left>
      <right style="thin">
        <color rgb="FF262626"/>
      </right>
      <bottom style="thick">
        <color rgb="FFBFBFBF"/>
      </bottom>
    </border>
    <border>
      <left style="thin">
        <color rgb="FF000000"/>
      </left>
      <right style="medium">
        <color rgb="FF262626"/>
      </right>
      <top style="medium">
        <color rgb="FF262626"/>
      </top>
      <bottom style="thin">
        <color rgb="FF202020"/>
      </bottom>
    </border>
    <border>
      <right style="medium">
        <color rgb="FF262626"/>
      </right>
      <top style="medium">
        <color rgb="FF262626"/>
      </top>
      <bottom style="thin">
        <color rgb="FF202020"/>
      </bottom>
    </border>
    <border>
      <right style="thin">
        <color rgb="FF000000"/>
      </right>
      <bottom style="thick">
        <color rgb="FFBFBFBF"/>
      </bottom>
    </border>
    <border>
      <right style="thin">
        <color rgb="FF202020"/>
      </right>
      <bottom style="thick">
        <color rgb="FFBFBFBF"/>
      </bottom>
    </border>
    <border>
      <left style="thin">
        <color rgb="FF000000"/>
      </left>
      <right style="medium">
        <color rgb="FF262626"/>
      </right>
      <top style="medium">
        <color rgb="FF262626"/>
      </top>
    </border>
    <border>
      <left style="thin">
        <color rgb="FF262626"/>
      </left>
      <right style="thin">
        <color rgb="FF000000"/>
      </right>
      <top style="thin">
        <color rgb="FF262626"/>
      </top>
    </border>
    <border>
      <right style="thin">
        <color rgb="FF000000"/>
      </right>
      <top style="thin">
        <color rgb="FF262626"/>
      </top>
    </border>
    <border>
      <left style="thin">
        <color rgb="FF262626"/>
      </left>
      <right style="thin">
        <color rgb="FF262626"/>
      </right>
    </border>
    <border>
      <left style="thin">
        <color rgb="FF262626"/>
      </left>
      <right style="thin">
        <color rgb="FF000000"/>
      </right>
    </border>
    <border>
      <left style="thin">
        <color rgb="FF262626"/>
      </left>
      <right style="thin">
        <color rgb="FF000000"/>
      </right>
      <bottom style="thin">
        <color rgb="FF000000"/>
      </bottom>
    </border>
    <border>
      <left style="thin">
        <color rgb="FF262626"/>
      </left>
      <top style="thin">
        <color rgb="FF262626"/>
      </top>
    </border>
    <border>
      <left style="thin">
        <color rgb="FF262626"/>
      </left>
      <bottom style="thin">
        <color rgb="FF262626"/>
      </bottom>
    </border>
    <border>
      <left style="thin">
        <color rgb="FF262626"/>
      </left>
      <top style="thin">
        <color rgb="FF000000"/>
      </top>
      <bottom style="thin">
        <color rgb="FF262626"/>
      </bottom>
    </border>
    <border>
      <left style="thin">
        <color rgb="FF262626"/>
      </left>
      <right style="thin">
        <color rgb="FF262626"/>
      </right>
      <top style="thin">
        <color rgb="FF000000"/>
      </top>
      <bottom style="thin">
        <color rgb="FF262626"/>
      </bottom>
    </border>
  </borders>
  <cellStyleXfs count="1">
    <xf borderId="0" fillId="0" fontId="0" numFmtId="0" applyAlignment="1" applyFont="1"/>
  </cellStyleXfs>
  <cellXfs count="1079">
    <xf borderId="0" fillId="0" fontId="0" numFmtId="0" xfId="0" applyAlignment="1" applyFont="1">
      <alignment readingOrder="0" shrinkToFit="0" vertical="bottom" wrapText="0"/>
    </xf>
    <xf borderId="0" fillId="2" fontId="1" numFmtId="0" xfId="0" applyAlignment="1" applyFill="1" applyFont="1">
      <alignment readingOrder="0"/>
    </xf>
    <xf borderId="0" fillId="0" fontId="1" numFmtId="0" xfId="0" applyAlignment="1" applyFont="1">
      <alignment readingOrder="0"/>
    </xf>
    <xf borderId="0" fillId="3" fontId="1" numFmtId="0" xfId="0" applyFill="1" applyFont="1"/>
    <xf borderId="1" fillId="3" fontId="2" numFmtId="0" xfId="0" applyAlignment="1" applyBorder="1" applyFont="1">
      <alignment horizontal="center" vertical="center"/>
    </xf>
    <xf borderId="2" fillId="3" fontId="3" numFmtId="0" xfId="0" applyAlignment="1" applyBorder="1" applyFont="1">
      <alignment horizontal="center" readingOrder="0" shrinkToFit="0" vertical="bottom" wrapText="0"/>
    </xf>
    <xf borderId="2" fillId="0" fontId="1" numFmtId="0" xfId="0" applyBorder="1" applyFont="1"/>
    <xf borderId="3" fillId="3" fontId="2" numFmtId="0" xfId="0" applyAlignment="1" applyBorder="1" applyFont="1">
      <alignment horizontal="center" vertical="bottom"/>
    </xf>
    <xf borderId="2" fillId="3" fontId="4" numFmtId="0" xfId="0" applyAlignment="1" applyBorder="1" applyFont="1">
      <alignment horizontal="center" readingOrder="0" vertical="center"/>
    </xf>
    <xf borderId="3" fillId="0" fontId="1" numFmtId="0" xfId="0" applyBorder="1" applyFont="1"/>
    <xf borderId="2" fillId="3" fontId="5" numFmtId="0" xfId="0" applyAlignment="1" applyBorder="1" applyFont="1">
      <alignment horizontal="center" readingOrder="0" shrinkToFit="0" vertical="center" wrapText="0"/>
    </xf>
    <xf borderId="2" fillId="4" fontId="6" numFmtId="0" xfId="0" applyAlignment="1" applyBorder="1" applyFill="1" applyFont="1">
      <alignment horizontal="center" vertical="center"/>
    </xf>
    <xf borderId="1" fillId="3" fontId="7" numFmtId="0" xfId="0" applyAlignment="1" applyBorder="1" applyFont="1">
      <alignment horizontal="center" vertical="center"/>
    </xf>
    <xf borderId="2" fillId="4" fontId="6" numFmtId="0" xfId="0" applyAlignment="1" applyBorder="1" applyFont="1">
      <alignment horizontal="center" readingOrder="0" shrinkToFit="0" vertical="center" wrapText="1"/>
    </xf>
    <xf borderId="3" fillId="5" fontId="2" numFmtId="0" xfId="0" applyAlignment="1" applyBorder="1" applyFill="1" applyFont="1">
      <alignment horizontal="center" vertical="center"/>
    </xf>
    <xf borderId="3" fillId="5" fontId="8" numFmtId="0" xfId="0" applyAlignment="1" applyBorder="1" applyFont="1">
      <alignment horizontal="center" vertical="center"/>
    </xf>
    <xf borderId="0" fillId="5" fontId="9" numFmtId="0" xfId="0" applyAlignment="1" applyFont="1">
      <alignment horizontal="center" shrinkToFit="0" vertical="center" wrapText="1"/>
    </xf>
    <xf borderId="0" fillId="5" fontId="9" numFmtId="0" xfId="0" applyAlignment="1" applyFont="1">
      <alignment horizontal="center" readingOrder="0" shrinkToFit="0" vertical="center" wrapText="1"/>
    </xf>
    <xf borderId="4" fillId="5" fontId="9" numFmtId="0" xfId="0" applyAlignment="1" applyBorder="1" applyFont="1">
      <alignment horizontal="center" shrinkToFit="0" vertical="center" wrapText="1"/>
    </xf>
    <xf borderId="2" fillId="5" fontId="9" numFmtId="0" xfId="0" applyAlignment="1" applyBorder="1" applyFont="1">
      <alignment horizontal="center" readingOrder="0" shrinkToFit="0" vertical="center" wrapText="1"/>
    </xf>
    <xf borderId="2" fillId="5" fontId="9" numFmtId="0" xfId="0" applyAlignment="1" applyBorder="1" applyFont="1">
      <alignment horizontal="center" shrinkToFit="0" vertical="center" wrapText="1"/>
    </xf>
    <xf borderId="3" fillId="5" fontId="10" numFmtId="0" xfId="0" applyAlignment="1" applyBorder="1" applyFont="1">
      <alignment horizontal="center" vertical="center"/>
    </xf>
    <xf borderId="3" fillId="5" fontId="9" numFmtId="0" xfId="0" applyAlignment="1" applyBorder="1" applyFont="1">
      <alignment horizontal="center" readingOrder="0" vertical="center"/>
    </xf>
    <xf borderId="3" fillId="5" fontId="9" numFmtId="0" xfId="0" applyAlignment="1" applyBorder="1" applyFont="1">
      <alignment horizontal="center" vertical="center"/>
    </xf>
    <xf borderId="3" fillId="5" fontId="9" numFmtId="0" xfId="0" applyAlignment="1" applyBorder="1" applyFont="1">
      <alignment horizontal="right" readingOrder="0" vertical="center"/>
    </xf>
    <xf borderId="3" fillId="5" fontId="9" numFmtId="0" xfId="0" applyAlignment="1" applyBorder="1" applyFont="1">
      <alignment horizontal="left" readingOrder="0" vertical="center"/>
    </xf>
    <xf quotePrefix="1" borderId="3" fillId="5" fontId="9" numFmtId="0" xfId="0" applyAlignment="1" applyBorder="1" applyFont="1">
      <alignment horizontal="center" readingOrder="0" vertical="center"/>
    </xf>
    <xf borderId="3" fillId="5" fontId="9" numFmtId="164" xfId="0" applyAlignment="1" applyBorder="1" applyFont="1" applyNumberFormat="1">
      <alignment horizontal="center" readingOrder="0" vertical="center"/>
    </xf>
    <xf borderId="3" fillId="5" fontId="8" numFmtId="0" xfId="0" applyAlignment="1" applyBorder="1" applyFont="1">
      <alignment horizontal="center" readingOrder="0" vertical="center"/>
    </xf>
    <xf borderId="3" fillId="5" fontId="8" numFmtId="164" xfId="0" applyAlignment="1" applyBorder="1" applyFont="1" applyNumberFormat="1">
      <alignment horizontal="center" readingOrder="0" vertical="center"/>
    </xf>
    <xf borderId="3" fillId="5" fontId="9" numFmtId="0" xfId="0" applyAlignment="1" applyBorder="1" applyFont="1">
      <alignment horizontal="center" shrinkToFit="0" vertical="center" wrapText="1"/>
    </xf>
    <xf borderId="0" fillId="3" fontId="2" numFmtId="0" xfId="0" applyAlignment="1" applyFont="1">
      <alignment horizontal="center" vertical="center"/>
    </xf>
    <xf borderId="0" fillId="3" fontId="8" numFmtId="0" xfId="0" applyAlignment="1" applyFont="1">
      <alignment horizontal="center" vertical="center"/>
    </xf>
    <xf borderId="0" fillId="4" fontId="11" numFmtId="0" xfId="0" applyAlignment="1" applyFont="1">
      <alignment horizontal="center" vertical="center"/>
    </xf>
    <xf borderId="5" fillId="2" fontId="12" numFmtId="0" xfId="0" applyAlignment="1" applyBorder="1" applyFont="1">
      <alignment horizontal="center" vertical="center"/>
    </xf>
    <xf borderId="0" fillId="5" fontId="13" numFmtId="0" xfId="0" applyAlignment="1" applyFont="1">
      <alignment horizontal="left" vertical="center"/>
    </xf>
    <xf borderId="0" fillId="3" fontId="14" numFmtId="0" xfId="0" applyAlignment="1" applyFont="1">
      <alignment horizontal="center" readingOrder="0" shrinkToFit="0" vertical="center" wrapText="1"/>
    </xf>
    <xf borderId="0" fillId="3" fontId="15" numFmtId="4" xfId="0" applyAlignment="1" applyFont="1" applyNumberFormat="1">
      <alignment horizontal="left" readingOrder="0" shrinkToFit="0" vertical="center" wrapText="1"/>
    </xf>
    <xf borderId="0" fillId="3" fontId="15" numFmtId="4" xfId="0" applyAlignment="1" applyFont="1" applyNumberFormat="1">
      <alignment horizontal="center" readingOrder="0" shrinkToFit="0" vertical="center" wrapText="1"/>
    </xf>
    <xf borderId="6" fillId="3" fontId="15" numFmtId="4" xfId="0" applyAlignment="1" applyBorder="1" applyFont="1" applyNumberFormat="1">
      <alignment horizontal="left" shrinkToFit="0" vertical="center" wrapText="1"/>
    </xf>
    <xf borderId="6" fillId="3" fontId="16" numFmtId="4" xfId="0" applyAlignment="1" applyBorder="1" applyFont="1" applyNumberFormat="1">
      <alignment horizontal="center" shrinkToFit="0" vertical="center" wrapText="0"/>
    </xf>
    <xf borderId="0" fillId="3" fontId="15" numFmtId="4" xfId="0" applyAlignment="1" applyFont="1" applyNumberFormat="1">
      <alignment horizontal="left" shrinkToFit="0" vertical="center" wrapText="1"/>
    </xf>
    <xf borderId="7" fillId="2" fontId="17" numFmtId="4" xfId="0" applyAlignment="1" applyBorder="1" applyFont="1" applyNumberFormat="1">
      <alignment horizontal="center" readingOrder="0" shrinkToFit="0" vertical="center" wrapText="1"/>
    </xf>
    <xf borderId="7" fillId="0" fontId="1" numFmtId="0" xfId="0" applyBorder="1" applyFont="1"/>
    <xf borderId="8" fillId="0" fontId="1" numFmtId="0" xfId="0" applyBorder="1" applyFont="1"/>
    <xf borderId="0" fillId="3" fontId="18" numFmtId="4" xfId="0" applyAlignment="1" applyFont="1" applyNumberFormat="1">
      <alignment vertical="center"/>
    </xf>
    <xf borderId="9" fillId="3" fontId="15" numFmtId="4" xfId="0" applyAlignment="1" applyBorder="1" applyFont="1" applyNumberFormat="1">
      <alignment horizontal="left" shrinkToFit="0" vertical="center" wrapText="1"/>
    </xf>
    <xf borderId="0" fillId="3" fontId="10" numFmtId="4" xfId="0" applyAlignment="1" applyFont="1" applyNumberFormat="1">
      <alignment horizontal="left" shrinkToFit="0" vertical="center" wrapText="1"/>
    </xf>
    <xf borderId="10" fillId="4" fontId="19" numFmtId="4" xfId="0" applyAlignment="1" applyBorder="1" applyFont="1" applyNumberFormat="1">
      <alignment horizontal="center" shrinkToFit="0" vertical="center" wrapText="1"/>
    </xf>
    <xf borderId="5" fillId="4" fontId="19" numFmtId="4" xfId="0" applyAlignment="1" applyBorder="1" applyFont="1" applyNumberFormat="1">
      <alignment horizontal="center" shrinkToFit="0" vertical="center" wrapText="1"/>
    </xf>
    <xf borderId="11" fillId="4" fontId="19" numFmtId="4" xfId="0" applyAlignment="1" applyBorder="1" applyFont="1" applyNumberFormat="1">
      <alignment horizontal="center" shrinkToFit="0" vertical="center" wrapText="1"/>
    </xf>
    <xf borderId="0" fillId="3" fontId="0" numFmtId="4" xfId="0" applyAlignment="1" applyFont="1" applyNumberFormat="1">
      <alignment horizontal="center" readingOrder="0" shrinkToFit="0" vertical="center" wrapText="1"/>
    </xf>
    <xf borderId="12" fillId="6" fontId="11" numFmtId="4" xfId="0" applyAlignment="1" applyBorder="1" applyFill="1" applyFont="1" applyNumberFormat="1">
      <alignment horizontal="center" shrinkToFit="0" textRotation="90" vertical="center" wrapText="1"/>
    </xf>
    <xf borderId="13" fillId="7" fontId="20" numFmtId="4" xfId="0" applyAlignment="1" applyBorder="1" applyFill="1" applyFont="1" applyNumberFormat="1">
      <alignment horizontal="center" readingOrder="0" shrinkToFit="0" vertical="center" wrapText="1"/>
    </xf>
    <xf borderId="12" fillId="8" fontId="21" numFmtId="4" xfId="0" applyAlignment="1" applyBorder="1" applyFill="1" applyFont="1" applyNumberFormat="1">
      <alignment horizontal="center" readingOrder="0" vertical="center"/>
    </xf>
    <xf borderId="13" fillId="8" fontId="21" numFmtId="4" xfId="0" applyAlignment="1" applyBorder="1" applyFont="1" applyNumberFormat="1">
      <alignment horizontal="center" readingOrder="0" vertical="center"/>
    </xf>
    <xf borderId="13" fillId="9" fontId="21" numFmtId="4" xfId="0" applyAlignment="1" applyBorder="1" applyFill="1" applyFont="1" applyNumberFormat="1">
      <alignment horizontal="center" readingOrder="0" vertical="center"/>
    </xf>
    <xf borderId="13" fillId="2" fontId="21" numFmtId="4" xfId="0" applyAlignment="1" applyBorder="1" applyFont="1" applyNumberFormat="1">
      <alignment horizontal="center" readingOrder="0" vertical="center"/>
    </xf>
    <xf borderId="12" fillId="10" fontId="21" numFmtId="4" xfId="0" applyAlignment="1" applyBorder="1" applyFill="1" applyFont="1" applyNumberFormat="1">
      <alignment horizontal="center" readingOrder="0" vertical="center"/>
    </xf>
    <xf borderId="14" fillId="10" fontId="22" numFmtId="4" xfId="0" applyAlignment="1" applyBorder="1" applyFont="1" applyNumberFormat="1">
      <alignment horizontal="center" readingOrder="0" vertical="center"/>
    </xf>
    <xf borderId="13" fillId="11" fontId="21" numFmtId="4" xfId="0" applyAlignment="1" applyBorder="1" applyFill="1" applyFont="1" applyNumberFormat="1">
      <alignment horizontal="center" readingOrder="0" vertical="center"/>
    </xf>
    <xf borderId="15" fillId="0" fontId="1" numFmtId="0" xfId="0" applyBorder="1" applyFont="1"/>
    <xf borderId="13" fillId="12" fontId="21" numFmtId="4" xfId="0" applyAlignment="1" applyBorder="1" applyFill="1" applyFont="1" applyNumberFormat="1">
      <alignment horizontal="center" readingOrder="0" vertical="center"/>
    </xf>
    <xf borderId="13" fillId="13" fontId="21" numFmtId="4" xfId="0" applyAlignment="1" applyBorder="1" applyFill="1" applyFont="1" applyNumberFormat="1">
      <alignment horizontal="center" readingOrder="0" vertical="center"/>
    </xf>
    <xf borderId="13" fillId="14" fontId="21" numFmtId="4" xfId="0" applyAlignment="1" applyBorder="1" applyFill="1" applyFont="1" applyNumberFormat="1">
      <alignment horizontal="center" readingOrder="0" vertical="center"/>
    </xf>
    <xf borderId="13" fillId="15" fontId="21" numFmtId="4" xfId="0" applyAlignment="1" applyBorder="1" applyFill="1" applyFont="1" applyNumberFormat="1">
      <alignment horizontal="center" readingOrder="0" vertical="center"/>
    </xf>
    <xf borderId="13" fillId="10" fontId="21" numFmtId="4" xfId="0" applyAlignment="1" applyBorder="1" applyFont="1" applyNumberFormat="1">
      <alignment horizontal="center" readingOrder="0" vertical="center"/>
    </xf>
    <xf borderId="13" fillId="16" fontId="21" numFmtId="4" xfId="0" applyAlignment="1" applyBorder="1" applyFill="1" applyFont="1" applyNumberFormat="1">
      <alignment horizontal="center" readingOrder="0" vertical="center"/>
    </xf>
    <xf borderId="13" fillId="17" fontId="21" numFmtId="4" xfId="0" applyAlignment="1" applyBorder="1" applyFill="1" applyFont="1" applyNumberFormat="1">
      <alignment horizontal="center" readingOrder="0" vertical="center"/>
    </xf>
    <xf borderId="16" fillId="0" fontId="1" numFmtId="0" xfId="0" applyBorder="1" applyFont="1"/>
    <xf borderId="17" fillId="0" fontId="1" numFmtId="0" xfId="0" applyBorder="1" applyFont="1"/>
    <xf borderId="18" fillId="8" fontId="21" numFmtId="4" xfId="0" applyAlignment="1" applyBorder="1" applyFont="1" applyNumberFormat="1">
      <alignment horizontal="center" readingOrder="0" vertical="center"/>
    </xf>
    <xf borderId="18" fillId="18" fontId="21" numFmtId="4" xfId="0" applyAlignment="1" applyBorder="1" applyFill="1" applyFont="1" applyNumberFormat="1">
      <alignment horizontal="center" readingOrder="0" vertical="center"/>
    </xf>
    <xf borderId="18" fillId="19" fontId="21" numFmtId="4" xfId="0" applyAlignment="1" applyBorder="1" applyFill="1" applyFont="1" applyNumberFormat="1">
      <alignment horizontal="center" readingOrder="0" vertical="center"/>
    </xf>
    <xf borderId="19" fillId="10" fontId="22" numFmtId="4" xfId="0" applyAlignment="1" applyBorder="1" applyFont="1" applyNumberFormat="1">
      <alignment horizontal="center" readingOrder="0" vertical="center"/>
    </xf>
    <xf borderId="18" fillId="20" fontId="21" numFmtId="4" xfId="0" applyAlignment="1" applyBorder="1" applyFill="1" applyFont="1" applyNumberFormat="1">
      <alignment horizontal="center" readingOrder="0" vertical="center"/>
    </xf>
    <xf borderId="18" fillId="2" fontId="21" numFmtId="4" xfId="0" applyAlignment="1" applyBorder="1" applyFont="1" applyNumberFormat="1">
      <alignment horizontal="center" readingOrder="0" vertical="center"/>
    </xf>
    <xf borderId="12" fillId="21" fontId="11" numFmtId="4" xfId="0" applyAlignment="1" applyBorder="1" applyFill="1" applyFont="1" applyNumberFormat="1">
      <alignment horizontal="center" shrinkToFit="0" textRotation="90" vertical="center" wrapText="1"/>
    </xf>
    <xf borderId="13" fillId="22" fontId="20" numFmtId="4" xfId="0" applyAlignment="1" applyBorder="1" applyFill="1" applyFont="1" applyNumberFormat="1">
      <alignment horizontal="center" readingOrder="0" shrinkToFit="0" vertical="center" wrapText="1"/>
    </xf>
    <xf borderId="15" fillId="8" fontId="21" numFmtId="4" xfId="0" applyAlignment="1" applyBorder="1" applyFont="1" applyNumberFormat="1">
      <alignment horizontal="center" readingOrder="0" vertical="center"/>
    </xf>
    <xf borderId="16" fillId="8" fontId="21" numFmtId="4" xfId="0" applyAlignment="1" applyBorder="1" applyFont="1" applyNumberFormat="1">
      <alignment horizontal="center" readingOrder="0" vertical="center"/>
    </xf>
    <xf borderId="16" fillId="2" fontId="21" numFmtId="4" xfId="0" applyAlignment="1" applyBorder="1" applyFont="1" applyNumberFormat="1">
      <alignment horizontal="center" readingOrder="0" vertical="center"/>
    </xf>
    <xf borderId="15" fillId="10" fontId="21" numFmtId="4" xfId="0" applyAlignment="1" applyBorder="1" applyFont="1" applyNumberFormat="1">
      <alignment horizontal="center" readingOrder="0" vertical="center"/>
    </xf>
    <xf borderId="20" fillId="10" fontId="22" numFmtId="4" xfId="0" applyAlignment="1" applyBorder="1" applyFont="1" applyNumberFormat="1">
      <alignment horizontal="center" readingOrder="0" vertical="center"/>
    </xf>
    <xf borderId="13" fillId="23" fontId="21" numFmtId="4" xfId="0" applyAlignment="1" applyBorder="1" applyFill="1" applyFont="1" applyNumberFormat="1">
      <alignment horizontal="center" readingOrder="0" vertical="center"/>
    </xf>
    <xf borderId="13" fillId="24" fontId="21" numFmtId="4" xfId="0" applyAlignment="1" applyBorder="1" applyFill="1" applyFont="1" applyNumberFormat="1">
      <alignment horizontal="center" readingOrder="0" vertical="center"/>
    </xf>
    <xf borderId="13" fillId="25" fontId="21" numFmtId="4" xfId="0" applyAlignment="1" applyBorder="1" applyFill="1" applyFont="1" applyNumberFormat="1">
      <alignment horizontal="center" readingOrder="0" vertical="center"/>
    </xf>
    <xf borderId="13" fillId="26" fontId="21" numFmtId="4" xfId="0" applyAlignment="1" applyBorder="1" applyFill="1" applyFont="1" applyNumberFormat="1">
      <alignment horizontal="center" readingOrder="0" vertical="center"/>
    </xf>
    <xf borderId="13" fillId="27" fontId="21" numFmtId="4" xfId="0" applyAlignment="1" applyBorder="1" applyFill="1" applyFont="1" applyNumberFormat="1">
      <alignment horizontal="center" readingOrder="0" vertical="center"/>
    </xf>
    <xf borderId="13" fillId="28" fontId="21" numFmtId="4" xfId="0" applyAlignment="1" applyBorder="1" applyFill="1" applyFont="1" applyNumberFormat="1">
      <alignment horizontal="center" readingOrder="0" vertical="center"/>
    </xf>
    <xf borderId="13" fillId="29" fontId="21" numFmtId="4" xfId="0" applyAlignment="1" applyBorder="1" applyFill="1" applyFont="1" applyNumberFormat="1">
      <alignment horizontal="center" readingOrder="0" vertical="center"/>
    </xf>
    <xf borderId="13" fillId="30" fontId="21" numFmtId="4" xfId="0" applyAlignment="1" applyBorder="1" applyFill="1" applyFont="1" applyNumberFormat="1">
      <alignment horizontal="center" readingOrder="0" vertical="center"/>
    </xf>
    <xf borderId="13" fillId="31" fontId="21" numFmtId="4" xfId="0" applyAlignment="1" applyBorder="1" applyFill="1" applyFont="1" applyNumberFormat="1">
      <alignment horizontal="center" readingOrder="0" vertical="center"/>
    </xf>
    <xf borderId="13" fillId="32" fontId="21" numFmtId="4" xfId="0" applyAlignment="1" applyBorder="1" applyFill="1" applyFont="1" applyNumberFormat="1">
      <alignment horizontal="center" readingOrder="0" vertical="center"/>
    </xf>
    <xf borderId="13" fillId="33" fontId="21" numFmtId="4" xfId="0" applyAlignment="1" applyBorder="1" applyFill="1" applyFont="1" applyNumberFormat="1">
      <alignment horizontal="center" readingOrder="0" vertical="center"/>
    </xf>
    <xf borderId="12" fillId="34" fontId="11" numFmtId="4" xfId="0" applyAlignment="1" applyBorder="1" applyFill="1" applyFont="1" applyNumberFormat="1">
      <alignment horizontal="center" shrinkToFit="0" textRotation="90" vertical="center" wrapText="1"/>
    </xf>
    <xf borderId="13" fillId="35" fontId="20" numFmtId="4" xfId="0" applyAlignment="1" applyBorder="1" applyFill="1" applyFont="1" applyNumberFormat="1">
      <alignment horizontal="center" readingOrder="0" shrinkToFit="0" vertical="center" wrapText="1"/>
    </xf>
    <xf borderId="16" fillId="36" fontId="21" numFmtId="4" xfId="0" applyAlignment="1" applyBorder="1" applyFill="1" applyFont="1" applyNumberFormat="1">
      <alignment horizontal="center" readingOrder="0" vertical="center"/>
    </xf>
    <xf borderId="16" fillId="37" fontId="21" numFmtId="4" xfId="0" applyAlignment="1" applyBorder="1" applyFill="1" applyFont="1" applyNumberFormat="1">
      <alignment horizontal="center" readingOrder="0" vertical="center"/>
    </xf>
    <xf borderId="16" fillId="12" fontId="21" numFmtId="4" xfId="0" applyAlignment="1" applyBorder="1" applyFont="1" applyNumberFormat="1">
      <alignment horizontal="center" readingOrder="0" vertical="center"/>
    </xf>
    <xf borderId="16" fillId="38" fontId="21" numFmtId="4" xfId="0" applyAlignment="1" applyBorder="1" applyFill="1" applyFont="1" applyNumberFormat="1">
      <alignment horizontal="center" readingOrder="0" vertical="center"/>
    </xf>
    <xf borderId="13" fillId="39" fontId="21" numFmtId="4" xfId="0" applyAlignment="1" applyBorder="1" applyFill="1" applyFont="1" applyNumberFormat="1">
      <alignment horizontal="center" readingOrder="0" vertical="center"/>
    </xf>
    <xf borderId="13" fillId="40" fontId="21" numFmtId="4" xfId="0" applyAlignment="1" applyBorder="1" applyFill="1" applyFont="1" applyNumberFormat="1">
      <alignment horizontal="center" readingOrder="0" vertical="center"/>
    </xf>
    <xf borderId="13" fillId="41" fontId="21" numFmtId="4" xfId="0" applyAlignment="1" applyBorder="1" applyFill="1" applyFont="1" applyNumberFormat="1">
      <alignment horizontal="center" readingOrder="0" vertical="center"/>
    </xf>
    <xf borderId="13" fillId="42" fontId="21" numFmtId="4" xfId="0" applyAlignment="1" applyBorder="1" applyFill="1" applyFont="1" applyNumberFormat="1">
      <alignment horizontal="center" readingOrder="0" vertical="center"/>
    </xf>
    <xf borderId="13" fillId="43" fontId="21" numFmtId="4" xfId="0" applyAlignment="1" applyBorder="1" applyFill="1" applyFont="1" applyNumberFormat="1">
      <alignment horizontal="center" readingOrder="0" vertical="center"/>
    </xf>
    <xf borderId="13" fillId="44" fontId="21" numFmtId="4" xfId="0" applyAlignment="1" applyBorder="1" applyFill="1" applyFont="1" applyNumberFormat="1">
      <alignment horizontal="center" readingOrder="0" vertical="center"/>
    </xf>
    <xf borderId="12" fillId="2" fontId="21" numFmtId="4" xfId="0" applyAlignment="1" applyBorder="1" applyFont="1" applyNumberFormat="1">
      <alignment horizontal="center" readingOrder="0" vertical="center"/>
    </xf>
    <xf borderId="21" fillId="10" fontId="22" numFmtId="4" xfId="0" applyAlignment="1" applyBorder="1" applyFont="1" applyNumberFormat="1">
      <alignment horizontal="center" readingOrder="0" vertical="center"/>
    </xf>
    <xf borderId="15" fillId="4" fontId="11" numFmtId="4" xfId="0" applyAlignment="1" applyBorder="1" applyFont="1" applyNumberFormat="1">
      <alignment horizontal="center" readingOrder="0" shrinkToFit="0" textRotation="90" vertical="center" wrapText="1"/>
    </xf>
    <xf borderId="13" fillId="45" fontId="20" numFmtId="4" xfId="0" applyAlignment="1" applyBorder="1" applyFill="1" applyFont="1" applyNumberFormat="1">
      <alignment horizontal="center" readingOrder="0" shrinkToFit="0" vertical="center" wrapText="1"/>
    </xf>
    <xf borderId="22" fillId="8" fontId="21" numFmtId="4" xfId="0" applyAlignment="1" applyBorder="1" applyFont="1" applyNumberFormat="1">
      <alignment horizontal="center" readingOrder="0" vertical="center"/>
    </xf>
    <xf borderId="23" fillId="8" fontId="21" numFmtId="4" xfId="0" applyAlignment="1" applyBorder="1" applyFont="1" applyNumberFormat="1">
      <alignment horizontal="center" readingOrder="0" vertical="center"/>
    </xf>
    <xf borderId="23" fillId="13" fontId="21" numFmtId="4" xfId="0" applyAlignment="1" applyBorder="1" applyFont="1" applyNumberFormat="1">
      <alignment horizontal="center" readingOrder="0" vertical="center"/>
    </xf>
    <xf borderId="23" fillId="10" fontId="21" numFmtId="4" xfId="0" applyAlignment="1" applyBorder="1" applyFont="1" applyNumberFormat="1">
      <alignment horizontal="center" readingOrder="0" vertical="center"/>
    </xf>
    <xf borderId="22" fillId="10" fontId="21" numFmtId="4" xfId="0" applyAlignment="1" applyBorder="1" applyFont="1" applyNumberFormat="1">
      <alignment horizontal="center" readingOrder="0" vertical="center"/>
    </xf>
    <xf borderId="24" fillId="10" fontId="22" numFmtId="4" xfId="0" applyAlignment="1" applyBorder="1" applyFont="1" applyNumberFormat="1">
      <alignment horizontal="center" readingOrder="0" vertical="center"/>
    </xf>
    <xf borderId="23" fillId="46" fontId="21" numFmtId="4" xfId="0" applyAlignment="1" applyBorder="1" applyFill="1" applyFont="1" applyNumberFormat="1">
      <alignment horizontal="center" readingOrder="0" vertical="center"/>
    </xf>
    <xf borderId="23" fillId="2" fontId="21" numFmtId="4" xfId="0" applyAlignment="1" applyBorder="1" applyFont="1" applyNumberFormat="1">
      <alignment horizontal="center" readingOrder="0" vertical="center"/>
    </xf>
    <xf borderId="13" fillId="47" fontId="21" numFmtId="4" xfId="0" applyAlignment="1" applyBorder="1" applyFill="1" applyFont="1" applyNumberFormat="1">
      <alignment horizontal="center" readingOrder="0" vertical="center"/>
    </xf>
    <xf borderId="13" fillId="48" fontId="21" numFmtId="4" xfId="0" applyAlignment="1" applyBorder="1" applyFill="1" applyFont="1" applyNumberFormat="1">
      <alignment horizontal="center" readingOrder="0" vertical="center"/>
    </xf>
    <xf borderId="13" fillId="49" fontId="21" numFmtId="4" xfId="0" applyAlignment="1" applyBorder="1" applyFill="1" applyFont="1" applyNumberFormat="1">
      <alignment horizontal="center" readingOrder="0" vertical="center"/>
    </xf>
    <xf borderId="13" fillId="50" fontId="21" numFmtId="4" xfId="0" applyAlignment="1" applyBorder="1" applyFill="1" applyFont="1" applyNumberFormat="1">
      <alignment horizontal="center" readingOrder="0" vertical="center"/>
    </xf>
    <xf borderId="18" fillId="51" fontId="21" numFmtId="4" xfId="0" applyAlignment="1" applyBorder="1" applyFill="1" applyFont="1" applyNumberFormat="1">
      <alignment horizontal="center" readingOrder="0" vertical="center"/>
    </xf>
    <xf borderId="18" fillId="49" fontId="21" numFmtId="4" xfId="0" applyAlignment="1" applyBorder="1" applyFont="1" applyNumberFormat="1">
      <alignment horizontal="center" readingOrder="0" vertical="center"/>
    </xf>
    <xf borderId="18" fillId="52" fontId="21" numFmtId="4" xfId="0" applyAlignment="1" applyBorder="1" applyFill="1" applyFont="1" applyNumberFormat="1">
      <alignment horizontal="center" readingOrder="0" vertical="center"/>
    </xf>
    <xf borderId="12" fillId="53" fontId="11" numFmtId="4" xfId="0" applyAlignment="1" applyBorder="1" applyFill="1" applyFont="1" applyNumberFormat="1">
      <alignment horizontal="center" shrinkToFit="0" textRotation="90" vertical="center" wrapText="1"/>
    </xf>
    <xf borderId="13" fillId="54" fontId="20" numFmtId="4" xfId="0" applyAlignment="1" applyBorder="1" applyFill="1" applyFont="1" applyNumberFormat="1">
      <alignment horizontal="center" readingOrder="0" shrinkToFit="0" vertical="center" wrapText="1"/>
    </xf>
    <xf borderId="16" fillId="55" fontId="21" numFmtId="4" xfId="0" applyAlignment="1" applyBorder="1" applyFill="1" applyFont="1" applyNumberFormat="1">
      <alignment horizontal="center" readingOrder="0" vertical="center"/>
    </xf>
    <xf borderId="13" fillId="36" fontId="21" numFmtId="4" xfId="0" applyAlignment="1" applyBorder="1" applyFont="1" applyNumberFormat="1">
      <alignment horizontal="center" readingOrder="0" vertical="center"/>
    </xf>
    <xf borderId="13" fillId="56" fontId="21" numFmtId="4" xfId="0" applyAlignment="1" applyBorder="1" applyFill="1" applyFont="1" applyNumberFormat="1">
      <alignment horizontal="center" readingOrder="0" vertical="center"/>
    </xf>
    <xf borderId="13" fillId="57" fontId="21" numFmtId="4" xfId="0" applyAlignment="1" applyBorder="1" applyFill="1" applyFont="1" applyNumberFormat="1">
      <alignment horizontal="center" readingOrder="0" vertical="center"/>
    </xf>
    <xf borderId="13" fillId="58" fontId="21" numFmtId="4" xfId="0" applyAlignment="1" applyBorder="1" applyFill="1" applyFont="1" applyNumberFormat="1">
      <alignment horizontal="center" readingOrder="0" vertical="center"/>
    </xf>
    <xf borderId="13" fillId="59" fontId="21" numFmtId="4" xfId="0" applyAlignment="1" applyBorder="1" applyFill="1" applyFont="1" applyNumberFormat="1">
      <alignment horizontal="center" readingOrder="0" vertical="center"/>
    </xf>
    <xf borderId="13" fillId="60" fontId="21" numFmtId="4" xfId="0" applyAlignment="1" applyBorder="1" applyFill="1" applyFont="1" applyNumberFormat="1">
      <alignment horizontal="center" readingOrder="0" vertical="center"/>
    </xf>
    <xf borderId="13" fillId="61" fontId="21" numFmtId="4" xfId="0" applyAlignment="1" applyBorder="1" applyFill="1" applyFont="1" applyNumberFormat="1">
      <alignment horizontal="center" readingOrder="0" vertical="center"/>
    </xf>
    <xf borderId="13" fillId="62" fontId="21" numFmtId="4" xfId="0" applyAlignment="1" applyBorder="1" applyFill="1" applyFont="1" applyNumberFormat="1">
      <alignment horizontal="center" readingOrder="0" vertical="center"/>
    </xf>
    <xf borderId="12" fillId="63" fontId="21" numFmtId="4" xfId="0" applyAlignment="1" applyBorder="1" applyFill="1" applyFont="1" applyNumberFormat="1">
      <alignment horizontal="center" readingOrder="0" vertical="center"/>
    </xf>
    <xf borderId="12" fillId="58" fontId="21" numFmtId="4" xfId="0" applyAlignment="1" applyBorder="1" applyFont="1" applyNumberFormat="1">
      <alignment horizontal="center" readingOrder="0" vertical="center"/>
    </xf>
    <xf borderId="12" fillId="64" fontId="11" numFmtId="4" xfId="0" applyAlignment="1" applyBorder="1" applyFill="1" applyFont="1" applyNumberFormat="1">
      <alignment horizontal="center" shrinkToFit="0" textRotation="90" vertical="center" wrapText="1"/>
    </xf>
    <xf borderId="13" fillId="65" fontId="20" numFmtId="4" xfId="0" applyAlignment="1" applyBorder="1" applyFill="1" applyFont="1" applyNumberFormat="1">
      <alignment horizontal="center" readingOrder="0" shrinkToFit="0" vertical="center" wrapText="1"/>
    </xf>
    <xf borderId="23" fillId="40" fontId="21" numFmtId="4" xfId="0" applyAlignment="1" applyBorder="1" applyFont="1" applyNumberFormat="1">
      <alignment horizontal="center" readingOrder="0" vertical="center"/>
    </xf>
    <xf borderId="23" fillId="24" fontId="21" numFmtId="4" xfId="0" applyAlignment="1" applyBorder="1" applyFont="1" applyNumberFormat="1">
      <alignment horizontal="center" readingOrder="0" vertical="center"/>
    </xf>
    <xf borderId="23" fillId="66" fontId="21" numFmtId="4" xfId="0" applyAlignment="1" applyBorder="1" applyFill="1" applyFont="1" applyNumberFormat="1">
      <alignment horizontal="center" readingOrder="0" vertical="center"/>
    </xf>
    <xf borderId="13" fillId="38" fontId="21" numFmtId="4" xfId="0" applyAlignment="1" applyBorder="1" applyFont="1" applyNumberFormat="1">
      <alignment horizontal="center" readingOrder="0" vertical="center"/>
    </xf>
    <xf borderId="13" fillId="67" fontId="21" numFmtId="4" xfId="0" applyAlignment="1" applyBorder="1" applyFill="1" applyFont="1" applyNumberFormat="1">
      <alignment horizontal="center" readingOrder="0" vertical="center"/>
    </xf>
    <xf borderId="13" fillId="66" fontId="21" numFmtId="4" xfId="0" applyAlignment="1" applyBorder="1" applyFont="1" applyNumberFormat="1">
      <alignment horizontal="center" readingOrder="0" vertical="center"/>
    </xf>
    <xf borderId="13" fillId="68" fontId="21" numFmtId="4" xfId="0" applyAlignment="1" applyBorder="1" applyFill="1" applyFont="1" applyNumberFormat="1">
      <alignment horizontal="center" readingOrder="0" vertical="center"/>
    </xf>
    <xf borderId="13" fillId="69" fontId="21" numFmtId="4" xfId="0" applyAlignment="1" applyBorder="1" applyFill="1" applyFont="1" applyNumberFormat="1">
      <alignment horizontal="center" readingOrder="0" vertical="center"/>
    </xf>
    <xf borderId="18" fillId="70" fontId="21" numFmtId="4" xfId="0" applyAlignment="1" applyBorder="1" applyFill="1" applyFont="1" applyNumberFormat="1">
      <alignment horizontal="center" readingOrder="0" vertical="center"/>
    </xf>
    <xf borderId="18" fillId="56" fontId="21" numFmtId="4" xfId="0" applyAlignment="1" applyBorder="1" applyFont="1" applyNumberFormat="1">
      <alignment horizontal="center" readingOrder="0" vertical="center"/>
    </xf>
    <xf borderId="25" fillId="3" fontId="15" numFmtId="4" xfId="0" applyAlignment="1" applyBorder="1" applyFont="1" applyNumberFormat="1">
      <alignment horizontal="left" shrinkToFit="0" vertical="center" wrapText="1"/>
    </xf>
    <xf borderId="15" fillId="4" fontId="23" numFmtId="4" xfId="0" applyAlignment="1" applyBorder="1" applyFont="1" applyNumberFormat="1">
      <alignment horizontal="center" readingOrder="0" shrinkToFit="0" vertical="center" wrapText="1"/>
    </xf>
    <xf borderId="15" fillId="8" fontId="21" numFmtId="4" xfId="0" applyAlignment="1" applyBorder="1" applyFont="1" applyNumberFormat="1">
      <alignment horizontal="center" vertical="center"/>
    </xf>
    <xf borderId="15" fillId="4" fontId="19" numFmtId="4" xfId="0" applyAlignment="1" applyBorder="1" applyFont="1" applyNumberFormat="1">
      <alignment horizontal="center" readingOrder="0" shrinkToFit="0" vertical="center" wrapText="1"/>
    </xf>
    <xf borderId="15" fillId="2" fontId="21" numFmtId="4" xfId="0" applyAlignment="1" applyBorder="1" applyFont="1" applyNumberFormat="1">
      <alignment horizontal="center" readingOrder="0" vertical="center"/>
    </xf>
    <xf borderId="15" fillId="10" fontId="21" numFmtId="4" xfId="0" applyAlignment="1" applyBorder="1" applyFont="1" applyNumberFormat="1">
      <alignment horizontal="center" vertical="center"/>
    </xf>
    <xf borderId="26" fillId="3" fontId="15" numFmtId="4" xfId="0" applyAlignment="1" applyBorder="1" applyFont="1" applyNumberFormat="1">
      <alignment horizontal="left" shrinkToFit="0" vertical="center" wrapText="1"/>
    </xf>
    <xf borderId="13" fillId="71" fontId="24" numFmtId="4" xfId="0" applyAlignment="1" applyBorder="1" applyFill="1" applyFont="1" applyNumberFormat="1">
      <alignment horizontal="center" vertical="center"/>
    </xf>
    <xf borderId="27" fillId="5" fontId="9" numFmtId="4" xfId="0" applyAlignment="1" applyBorder="1" applyFont="1" applyNumberFormat="1">
      <alignment horizontal="center" readingOrder="0" shrinkToFit="0" textRotation="0" vertical="center" wrapText="1"/>
    </xf>
    <xf borderId="28" fillId="0" fontId="1" numFmtId="0" xfId="0" applyBorder="1" applyFont="1"/>
    <xf borderId="29" fillId="0" fontId="1" numFmtId="0" xfId="0" applyBorder="1" applyFont="1"/>
    <xf borderId="13" fillId="64" fontId="24" numFmtId="4" xfId="0" applyAlignment="1" applyBorder="1" applyFont="1" applyNumberFormat="1">
      <alignment horizontal="center" vertical="center"/>
    </xf>
    <xf borderId="0" fillId="3" fontId="25" numFmtId="10" xfId="0" applyAlignment="1" applyFont="1" applyNumberFormat="1">
      <alignment horizontal="left" readingOrder="0" shrinkToFit="0" vertical="center" wrapText="1"/>
    </xf>
    <xf borderId="0" fillId="3" fontId="9" numFmtId="0" xfId="0" applyAlignment="1" applyFont="1">
      <alignment horizontal="left" readingOrder="0" shrinkToFit="0" vertical="center" wrapText="1"/>
    </xf>
    <xf borderId="6" fillId="3" fontId="26" numFmtId="0" xfId="0" applyAlignment="1" applyBorder="1" applyFont="1">
      <alignment horizontal="center" shrinkToFit="0" vertical="center" wrapText="0"/>
    </xf>
    <xf borderId="13" fillId="4" fontId="19" numFmtId="0" xfId="0" applyAlignment="1" applyBorder="1" applyFont="1">
      <alignment horizontal="center" readingOrder="0" shrinkToFit="0" vertical="center" wrapText="1"/>
    </xf>
    <xf borderId="13" fillId="5" fontId="9" numFmtId="0" xfId="0" applyAlignment="1" applyBorder="1" applyFont="1">
      <alignment horizontal="center" readingOrder="0" shrinkToFit="0" vertical="center" wrapText="1"/>
    </xf>
    <xf borderId="7" fillId="2" fontId="17" numFmtId="0" xfId="0" applyAlignment="1" applyBorder="1" applyFont="1">
      <alignment horizontal="center" readingOrder="0" shrinkToFit="0" vertical="center" wrapText="1"/>
    </xf>
    <xf borderId="0" fillId="3" fontId="9" numFmtId="0" xfId="0" applyAlignment="1" applyFont="1">
      <alignment horizontal="center" shrinkToFit="0" vertical="center" wrapText="0"/>
    </xf>
    <xf borderId="0" fillId="3" fontId="18" numFmtId="0" xfId="0" applyAlignment="1" applyFont="1">
      <alignment vertical="center"/>
    </xf>
    <xf borderId="6" fillId="3" fontId="9" numFmtId="0" xfId="0" applyAlignment="1" applyBorder="1" applyFont="1">
      <alignment horizontal="left" shrinkToFit="0" vertical="center" wrapText="1"/>
    </xf>
    <xf borderId="0" fillId="3" fontId="9" numFmtId="0" xfId="0" applyAlignment="1" applyFont="1">
      <alignment horizontal="left" shrinkToFit="0" vertical="center" wrapText="1"/>
    </xf>
    <xf borderId="30" fillId="4" fontId="19" numFmtId="2" xfId="0" applyAlignment="1" applyBorder="1" applyFont="1" applyNumberFormat="1">
      <alignment horizontal="center" shrinkToFit="0" vertical="center" wrapText="1"/>
    </xf>
    <xf borderId="13" fillId="4" fontId="19" numFmtId="2" xfId="0" applyAlignment="1" applyBorder="1" applyFont="1" applyNumberFormat="1">
      <alignment horizontal="center" shrinkToFit="0" vertical="center" wrapText="1"/>
    </xf>
    <xf borderId="31" fillId="4" fontId="27" numFmtId="2" xfId="0" applyAlignment="1" applyBorder="1" applyFont="1" applyNumberFormat="1">
      <alignment horizontal="center" shrinkToFit="0" vertical="center" wrapText="1"/>
    </xf>
    <xf borderId="5" fillId="4" fontId="27" numFmtId="2" xfId="0" applyAlignment="1" applyBorder="1" applyFont="1" applyNumberFormat="1">
      <alignment horizontal="center" shrinkToFit="0" vertical="center" wrapText="1"/>
    </xf>
    <xf borderId="11" fillId="4" fontId="27" numFmtId="2" xfId="0" applyAlignment="1" applyBorder="1" applyFont="1" applyNumberFormat="1">
      <alignment horizontal="center" shrinkToFit="0" vertical="center" wrapText="1"/>
    </xf>
    <xf borderId="11" fillId="3" fontId="18" numFmtId="0" xfId="0" applyAlignment="1" applyBorder="1" applyFont="1">
      <alignment vertical="center"/>
    </xf>
    <xf borderId="32" fillId="4" fontId="27" numFmtId="2" xfId="0" applyAlignment="1" applyBorder="1" applyFont="1" applyNumberFormat="1">
      <alignment horizontal="center" shrinkToFit="0" vertical="center" wrapText="1"/>
    </xf>
    <xf borderId="6" fillId="3" fontId="9" numFmtId="0" xfId="0" applyAlignment="1" applyBorder="1" applyFont="1">
      <alignment horizontal="center" shrinkToFit="0" vertical="center" wrapText="0"/>
    </xf>
    <xf borderId="12" fillId="6" fontId="28" numFmtId="0" xfId="0" applyAlignment="1" applyBorder="1" applyFont="1">
      <alignment horizontal="center" shrinkToFit="0" textRotation="90" vertical="center" wrapText="1"/>
    </xf>
    <xf borderId="0" fillId="3" fontId="9" numFmtId="0" xfId="0" applyAlignment="1" applyFont="1">
      <alignment horizontal="center" readingOrder="0" shrinkToFit="0" vertical="center" wrapText="1"/>
    </xf>
    <xf borderId="13" fillId="72" fontId="21" numFmtId="4" xfId="0" applyAlignment="1" applyBorder="1" applyFill="1" applyFont="1" applyNumberFormat="1">
      <alignment horizontal="center" readingOrder="0" vertical="center"/>
    </xf>
    <xf borderId="11" fillId="3" fontId="18" numFmtId="4" xfId="0" applyBorder="1" applyFont="1" applyNumberFormat="1"/>
    <xf borderId="13" fillId="73" fontId="21" numFmtId="4" xfId="0" applyAlignment="1" applyBorder="1" applyFill="1" applyFont="1" applyNumberFormat="1">
      <alignment horizontal="center" readingOrder="0" vertical="center"/>
    </xf>
    <xf borderId="13" fillId="8" fontId="21" numFmtId="2" xfId="0" applyAlignment="1" applyBorder="1" applyFont="1" applyNumberFormat="1">
      <alignment horizontal="center" readingOrder="0" vertical="center"/>
    </xf>
    <xf borderId="13" fillId="74" fontId="21" numFmtId="2" xfId="0" applyAlignment="1" applyBorder="1" applyFill="1" applyFont="1" applyNumberFormat="1">
      <alignment horizontal="center" readingOrder="0" vertical="center"/>
    </xf>
    <xf borderId="13" fillId="2" fontId="21" numFmtId="2" xfId="0" applyAlignment="1" applyBorder="1" applyFont="1" applyNumberFormat="1">
      <alignment horizontal="center" readingOrder="0" vertical="center"/>
    </xf>
    <xf borderId="13" fillId="63" fontId="21" numFmtId="4" xfId="0" applyAlignment="1" applyBorder="1" applyFont="1" applyNumberFormat="1">
      <alignment horizontal="center" readingOrder="0" vertical="center"/>
    </xf>
    <xf borderId="0" fillId="3" fontId="18" numFmtId="4" xfId="0" applyFont="1" applyNumberFormat="1"/>
    <xf borderId="0" fillId="3" fontId="9" numFmtId="0" xfId="0" applyAlignment="1" applyFont="1">
      <alignment horizontal="center" shrinkToFit="0" vertical="center" wrapText="1"/>
    </xf>
    <xf borderId="13" fillId="13" fontId="21" numFmtId="2" xfId="0" applyAlignment="1" applyBorder="1" applyFont="1" applyNumberFormat="1">
      <alignment horizontal="center" readingOrder="0" vertical="center"/>
    </xf>
    <xf borderId="13" fillId="75" fontId="21" numFmtId="2" xfId="0" applyAlignment="1" applyBorder="1" applyFill="1" applyFont="1" applyNumberFormat="1">
      <alignment horizontal="center" readingOrder="0" vertical="center"/>
    </xf>
    <xf borderId="13" fillId="76" fontId="21" numFmtId="4" xfId="0" applyAlignment="1" applyBorder="1" applyFill="1" applyFont="1" applyNumberFormat="1">
      <alignment horizontal="center" readingOrder="0" vertical="center"/>
    </xf>
    <xf borderId="13" fillId="77" fontId="21" numFmtId="4" xfId="0" applyAlignment="1" applyBorder="1" applyFill="1" applyFont="1" applyNumberFormat="1">
      <alignment horizontal="center" readingOrder="0" vertical="center"/>
    </xf>
    <xf borderId="13" fillId="78" fontId="21" numFmtId="4" xfId="0" applyAlignment="1" applyBorder="1" applyFill="1" applyFont="1" applyNumberFormat="1">
      <alignment horizontal="center" readingOrder="0" vertical="center"/>
    </xf>
    <xf borderId="13" fillId="79" fontId="21" numFmtId="2" xfId="0" applyAlignment="1" applyBorder="1" applyFill="1" applyFont="1" applyNumberFormat="1">
      <alignment horizontal="center" readingOrder="0" vertical="center"/>
    </xf>
    <xf borderId="13" fillId="80" fontId="21" numFmtId="4" xfId="0" applyAlignment="1" applyBorder="1" applyFill="1" applyFont="1" applyNumberFormat="1">
      <alignment horizontal="center" readingOrder="0" vertical="center"/>
    </xf>
    <xf borderId="13" fillId="81" fontId="21" numFmtId="2" xfId="0" applyAlignment="1" applyBorder="1" applyFill="1" applyFont="1" applyNumberFormat="1">
      <alignment horizontal="center" readingOrder="0" vertical="center"/>
    </xf>
    <xf borderId="13" fillId="82" fontId="21" numFmtId="4" xfId="0" applyAlignment="1" applyBorder="1" applyFill="1" applyFont="1" applyNumberFormat="1">
      <alignment horizontal="center" readingOrder="0" vertical="center"/>
    </xf>
    <xf borderId="12" fillId="13" fontId="21" numFmtId="4" xfId="0" applyAlignment="1" applyBorder="1" applyFont="1" applyNumberFormat="1">
      <alignment horizontal="center" readingOrder="0" vertical="center"/>
    </xf>
    <xf borderId="12" fillId="83" fontId="21" numFmtId="4" xfId="0" applyAlignment="1" applyBorder="1" applyFill="1" applyFont="1" applyNumberFormat="1">
      <alignment horizontal="center" readingOrder="0" vertical="center"/>
    </xf>
    <xf borderId="18" fillId="84" fontId="21" numFmtId="4" xfId="0" applyAlignment="1" applyBorder="1" applyFill="1" applyFont="1" applyNumberFormat="1">
      <alignment horizontal="center" readingOrder="0" vertical="center"/>
    </xf>
    <xf borderId="18" fillId="85" fontId="21" numFmtId="4" xfId="0" applyAlignment="1" applyBorder="1" applyFill="1" applyFont="1" applyNumberFormat="1">
      <alignment horizontal="center" readingOrder="0" vertical="center"/>
    </xf>
    <xf borderId="12" fillId="8" fontId="21" numFmtId="2" xfId="0" applyAlignment="1" applyBorder="1" applyFont="1" applyNumberFormat="1">
      <alignment horizontal="center" readingOrder="0" vertical="center"/>
    </xf>
    <xf borderId="12" fillId="59" fontId="21" numFmtId="2" xfId="0" applyAlignment="1" applyBorder="1" applyFont="1" applyNumberFormat="1">
      <alignment horizontal="center" readingOrder="0" vertical="center"/>
    </xf>
    <xf borderId="12" fillId="2" fontId="21" numFmtId="2" xfId="0" applyAlignment="1" applyBorder="1" applyFont="1" applyNumberFormat="1">
      <alignment horizontal="center" readingOrder="0" vertical="center"/>
    </xf>
    <xf borderId="12" fillId="76" fontId="21" numFmtId="4" xfId="0" applyAlignment="1" applyBorder="1" applyFont="1" applyNumberFormat="1">
      <alignment horizontal="center" readingOrder="0" vertical="center"/>
    </xf>
    <xf borderId="15" fillId="21" fontId="28" numFmtId="0" xfId="0" applyAlignment="1" applyBorder="1" applyFont="1">
      <alignment horizontal="center" shrinkToFit="0" textRotation="90" vertical="center" wrapText="1"/>
    </xf>
    <xf borderId="16" fillId="13" fontId="21" numFmtId="4" xfId="0" applyAlignment="1" applyBorder="1" applyFont="1" applyNumberFormat="1">
      <alignment horizontal="center" readingOrder="0" vertical="center"/>
    </xf>
    <xf borderId="23" fillId="8" fontId="21" numFmtId="2" xfId="0" applyAlignment="1" applyBorder="1" applyFont="1" applyNumberFormat="1">
      <alignment horizontal="center" readingOrder="0" vertical="center"/>
    </xf>
    <xf borderId="23" fillId="2" fontId="21" numFmtId="2" xfId="0" applyAlignment="1" applyBorder="1" applyFont="1" applyNumberFormat="1">
      <alignment horizontal="center" readingOrder="0" vertical="center"/>
    </xf>
    <xf borderId="13" fillId="86" fontId="21" numFmtId="4" xfId="0" applyAlignment="1" applyBorder="1" applyFill="1" applyFont="1" applyNumberFormat="1">
      <alignment horizontal="center" readingOrder="0" vertical="center"/>
    </xf>
    <xf borderId="13" fillId="72" fontId="21" numFmtId="2" xfId="0" applyAlignment="1" applyBorder="1" applyFont="1" applyNumberFormat="1">
      <alignment horizontal="center" readingOrder="0" vertical="center"/>
    </xf>
    <xf borderId="13" fillId="85" fontId="21" numFmtId="4" xfId="0" applyAlignment="1" applyBorder="1" applyFont="1" applyNumberFormat="1">
      <alignment horizontal="center" readingOrder="0" vertical="center"/>
    </xf>
    <xf borderId="13" fillId="56" fontId="21" numFmtId="2" xfId="0" applyAlignment="1" applyBorder="1" applyFont="1" applyNumberFormat="1">
      <alignment horizontal="center" readingOrder="0" vertical="center"/>
    </xf>
    <xf borderId="13" fillId="49" fontId="21" numFmtId="2" xfId="0" applyAlignment="1" applyBorder="1" applyFont="1" applyNumberFormat="1">
      <alignment horizontal="center" readingOrder="0" vertical="center"/>
    </xf>
    <xf borderId="13" fillId="87" fontId="21" numFmtId="2" xfId="0" applyAlignment="1" applyBorder="1" applyFill="1" applyFont="1" applyNumberFormat="1">
      <alignment horizontal="center" readingOrder="0" vertical="center"/>
    </xf>
    <xf borderId="13" fillId="79" fontId="21" numFmtId="4" xfId="0" applyAlignment="1" applyBorder="1" applyFont="1" applyNumberFormat="1">
      <alignment horizontal="center" readingOrder="0" vertical="center"/>
    </xf>
    <xf borderId="13" fillId="40" fontId="21" numFmtId="2" xfId="0" applyAlignment="1" applyBorder="1" applyFont="1" applyNumberFormat="1">
      <alignment horizontal="center" readingOrder="0" vertical="center"/>
    </xf>
    <xf borderId="13" fillId="88" fontId="21" numFmtId="4" xfId="0" applyAlignment="1" applyBorder="1" applyFill="1" applyFont="1" applyNumberFormat="1">
      <alignment horizontal="center" readingOrder="0" vertical="center"/>
    </xf>
    <xf borderId="18" fillId="13" fontId="21" numFmtId="4" xfId="0" applyAlignment="1" applyBorder="1" applyFont="1" applyNumberFormat="1">
      <alignment horizontal="center" readingOrder="0" vertical="center"/>
    </xf>
    <xf borderId="18" fillId="89" fontId="21" numFmtId="4" xfId="0" applyAlignment="1" applyBorder="1" applyFill="1" applyFont="1" applyNumberFormat="1">
      <alignment horizontal="center" readingOrder="0" vertical="center"/>
    </xf>
    <xf borderId="18" fillId="8" fontId="21" numFmtId="2" xfId="0" applyAlignment="1" applyBorder="1" applyFont="1" applyNumberFormat="1">
      <alignment horizontal="center" readingOrder="0" vertical="center"/>
    </xf>
    <xf borderId="18" fillId="29" fontId="21" numFmtId="2" xfId="0" applyAlignment="1" applyBorder="1" applyFont="1" applyNumberFormat="1">
      <alignment horizontal="center" readingOrder="0" vertical="center"/>
    </xf>
    <xf borderId="18" fillId="2" fontId="21" numFmtId="2" xfId="0" applyAlignment="1" applyBorder="1" applyFont="1" applyNumberFormat="1">
      <alignment horizontal="center" readingOrder="0" vertical="center"/>
    </xf>
    <xf borderId="18" fillId="26" fontId="21" numFmtId="4" xfId="0" applyAlignment="1" applyBorder="1" applyFont="1" applyNumberFormat="1">
      <alignment horizontal="center" readingOrder="0" vertical="center"/>
    </xf>
    <xf borderId="18" fillId="73" fontId="21" numFmtId="4" xfId="0" applyAlignment="1" applyBorder="1" applyFont="1" applyNumberFormat="1">
      <alignment horizontal="center" readingOrder="0" vertical="center"/>
    </xf>
    <xf borderId="15" fillId="34" fontId="28" numFmtId="0" xfId="0" applyAlignment="1" applyBorder="1" applyFont="1">
      <alignment horizontal="center" shrinkToFit="0" textRotation="90" vertical="center" wrapText="1"/>
    </xf>
    <xf borderId="16" fillId="47" fontId="21" numFmtId="4" xfId="0" applyAlignment="1" applyBorder="1" applyFont="1" applyNumberFormat="1">
      <alignment horizontal="center" readingOrder="0" vertical="center"/>
    </xf>
    <xf borderId="16" fillId="90" fontId="21" numFmtId="4" xfId="0" applyAlignment="1" applyBorder="1" applyFill="1" applyFont="1" applyNumberFormat="1">
      <alignment horizontal="center" readingOrder="0" vertical="center"/>
    </xf>
    <xf borderId="16" fillId="25" fontId="21" numFmtId="4" xfId="0" applyAlignment="1" applyBorder="1" applyFont="1" applyNumberFormat="1">
      <alignment horizontal="center" readingOrder="0" vertical="center"/>
    </xf>
    <xf borderId="16" fillId="8" fontId="21" numFmtId="2" xfId="0" applyAlignment="1" applyBorder="1" applyFont="1" applyNumberFormat="1">
      <alignment horizontal="center" readingOrder="0" vertical="center"/>
    </xf>
    <xf borderId="16" fillId="13" fontId="21" numFmtId="2" xfId="0" applyAlignment="1" applyBorder="1" applyFont="1" applyNumberFormat="1">
      <alignment horizontal="center" readingOrder="0" vertical="center"/>
    </xf>
    <xf borderId="16" fillId="91" fontId="21" numFmtId="2" xfId="0" applyAlignment="1" applyBorder="1" applyFill="1" applyFont="1" applyNumberFormat="1">
      <alignment horizontal="center" readingOrder="0" vertical="center"/>
    </xf>
    <xf borderId="13" fillId="92" fontId="21" numFmtId="4" xfId="0" applyAlignment="1" applyBorder="1" applyFill="1" applyFont="1" applyNumberFormat="1">
      <alignment horizontal="center" readingOrder="0" vertical="center"/>
    </xf>
    <xf borderId="13" fillId="20" fontId="21" numFmtId="4" xfId="0" applyAlignment="1" applyBorder="1" applyFont="1" applyNumberFormat="1">
      <alignment horizontal="center" readingOrder="0" vertical="center"/>
    </xf>
    <xf borderId="13" fillId="84" fontId="21" numFmtId="4" xfId="0" applyAlignment="1" applyBorder="1" applyFont="1" applyNumberFormat="1">
      <alignment horizontal="center" readingOrder="0" vertical="center"/>
    </xf>
    <xf borderId="13" fillId="36" fontId="21" numFmtId="2" xfId="0" applyAlignment="1" applyBorder="1" applyFont="1" applyNumberFormat="1">
      <alignment horizontal="center" readingOrder="0" vertical="center"/>
    </xf>
    <xf borderId="13" fillId="91" fontId="21" numFmtId="2" xfId="0" applyAlignment="1" applyBorder="1" applyFont="1" applyNumberFormat="1">
      <alignment horizontal="center" readingOrder="0" vertical="center"/>
    </xf>
    <xf borderId="13" fillId="93" fontId="21" numFmtId="4" xfId="0" applyAlignment="1" applyBorder="1" applyFill="1" applyFont="1" applyNumberFormat="1">
      <alignment horizontal="center" readingOrder="0" vertical="center"/>
    </xf>
    <xf borderId="13" fillId="28" fontId="21" numFmtId="2" xfId="0" applyAlignment="1" applyBorder="1" applyFont="1" applyNumberFormat="1">
      <alignment horizontal="center" readingOrder="0" vertical="center"/>
    </xf>
    <xf borderId="13" fillId="94" fontId="21" numFmtId="4" xfId="0" applyAlignment="1" applyBorder="1" applyFill="1" applyFont="1" applyNumberFormat="1">
      <alignment horizontal="center" readingOrder="0" vertical="center"/>
    </xf>
    <xf borderId="12" fillId="79" fontId="21" numFmtId="4" xfId="0" applyAlignment="1" applyBorder="1" applyFont="1" applyNumberFormat="1">
      <alignment horizontal="center" readingOrder="0" vertical="center"/>
    </xf>
    <xf borderId="12" fillId="26" fontId="21" numFmtId="2" xfId="0" applyAlignment="1" applyBorder="1" applyFont="1" applyNumberFormat="1">
      <alignment horizontal="center" readingOrder="0" vertical="center"/>
    </xf>
    <xf borderId="12" fillId="95" fontId="21" numFmtId="2" xfId="0" applyAlignment="1" applyBorder="1" applyFill="1" applyFont="1" applyNumberFormat="1">
      <alignment horizontal="center" readingOrder="0" vertical="center"/>
    </xf>
    <xf borderId="12" fillId="59" fontId="21" numFmtId="4" xfId="0" applyAlignment="1" applyBorder="1" applyFont="1" applyNumberFormat="1">
      <alignment horizontal="center" readingOrder="0" vertical="center"/>
    </xf>
    <xf borderId="12" fillId="94" fontId="21" numFmtId="4" xfId="0" applyAlignment="1" applyBorder="1" applyFont="1" applyNumberFormat="1">
      <alignment horizontal="center" readingOrder="0" vertical="center"/>
    </xf>
    <xf borderId="15" fillId="4" fontId="28" numFmtId="0" xfId="0" applyAlignment="1" applyBorder="1" applyFont="1">
      <alignment horizontal="center" shrinkToFit="0" textRotation="90" vertical="center" wrapText="1"/>
    </xf>
    <xf borderId="23" fillId="31" fontId="21" numFmtId="4" xfId="0" applyAlignment="1" applyBorder="1" applyFont="1" applyNumberFormat="1">
      <alignment horizontal="center" readingOrder="0" vertical="center"/>
    </xf>
    <xf borderId="23" fillId="43" fontId="21" numFmtId="4" xfId="0" applyAlignment="1" applyBorder="1" applyFont="1" applyNumberFormat="1">
      <alignment horizontal="center" readingOrder="0" vertical="center"/>
    </xf>
    <xf borderId="23" fillId="13" fontId="21" numFmtId="2" xfId="0" applyAlignment="1" applyBorder="1" applyFont="1" applyNumberFormat="1">
      <alignment horizontal="center" readingOrder="0" vertical="center"/>
    </xf>
    <xf borderId="23" fillId="10" fontId="21" numFmtId="2" xfId="0" applyAlignment="1" applyBorder="1" applyFont="1" applyNumberFormat="1">
      <alignment horizontal="center" readingOrder="0" vertical="center"/>
    </xf>
    <xf borderId="13" fillId="10" fontId="21" numFmtId="2" xfId="0" applyAlignment="1" applyBorder="1" applyFont="1" applyNumberFormat="1">
      <alignment horizontal="center" readingOrder="0" vertical="center"/>
    </xf>
    <xf borderId="13" fillId="96" fontId="21" numFmtId="4" xfId="0" applyAlignment="1" applyBorder="1" applyFill="1" applyFont="1" applyNumberFormat="1">
      <alignment horizontal="center" readingOrder="0" vertical="center"/>
    </xf>
    <xf borderId="13" fillId="97" fontId="21" numFmtId="4" xfId="0" applyAlignment="1" applyBorder="1" applyFill="1" applyFont="1" applyNumberFormat="1">
      <alignment horizontal="center" readingOrder="0" vertical="center"/>
    </xf>
    <xf borderId="13" fillId="98" fontId="21" numFmtId="2" xfId="0" applyAlignment="1" applyBorder="1" applyFill="1" applyFont="1" applyNumberFormat="1">
      <alignment horizontal="center" readingOrder="0" vertical="center"/>
    </xf>
    <xf borderId="18" fillId="60" fontId="21" numFmtId="4" xfId="0" applyAlignment="1" applyBorder="1" applyFont="1" applyNumberFormat="1">
      <alignment horizontal="center" readingOrder="0" vertical="center"/>
    </xf>
    <xf borderId="18" fillId="13" fontId="21" numFmtId="2" xfId="0" applyAlignment="1" applyBorder="1" applyFont="1" applyNumberFormat="1">
      <alignment horizontal="center" readingOrder="0" vertical="center"/>
    </xf>
    <xf borderId="18" fillId="99" fontId="21" numFmtId="2" xfId="0" applyAlignment="1" applyBorder="1" applyFill="1" applyFont="1" applyNumberFormat="1">
      <alignment horizontal="center" readingOrder="0" vertical="center"/>
    </xf>
    <xf borderId="15" fillId="53" fontId="28" numFmtId="0" xfId="0" applyAlignment="1" applyBorder="1" applyFont="1">
      <alignment horizontal="center" shrinkToFit="0" textRotation="90" vertical="center" wrapText="1"/>
    </xf>
    <xf borderId="16" fillId="59" fontId="21" numFmtId="4" xfId="0" applyAlignment="1" applyBorder="1" applyFont="1" applyNumberFormat="1">
      <alignment horizontal="center" readingOrder="0" vertical="center"/>
    </xf>
    <xf borderId="16" fillId="27" fontId="21" numFmtId="4" xfId="0" applyAlignment="1" applyBorder="1" applyFont="1" applyNumberFormat="1">
      <alignment horizontal="center" readingOrder="0" vertical="center"/>
    </xf>
    <xf borderId="16" fillId="86" fontId="21" numFmtId="4" xfId="0" applyAlignment="1" applyBorder="1" applyFont="1" applyNumberFormat="1">
      <alignment horizontal="center" readingOrder="0" vertical="center"/>
    </xf>
    <xf borderId="16" fillId="2" fontId="21" numFmtId="2" xfId="0" applyAlignment="1" applyBorder="1" applyFont="1" applyNumberFormat="1">
      <alignment horizontal="center" readingOrder="0" vertical="center"/>
    </xf>
    <xf borderId="16" fillId="41" fontId="21" numFmtId="4" xfId="0" applyAlignment="1" applyBorder="1" applyFont="1" applyNumberFormat="1">
      <alignment horizontal="center" readingOrder="0" vertical="center"/>
    </xf>
    <xf borderId="13" fillId="100" fontId="21" numFmtId="2" xfId="0" applyAlignment="1" applyBorder="1" applyFill="1" applyFont="1" applyNumberFormat="1">
      <alignment horizontal="center" readingOrder="0" vertical="center"/>
    </xf>
    <xf borderId="13" fillId="73" fontId="21" numFmtId="2" xfId="0" applyAlignment="1" applyBorder="1" applyFont="1" applyNumberFormat="1">
      <alignment horizontal="center" readingOrder="0" vertical="center"/>
    </xf>
    <xf borderId="13" fillId="74" fontId="21" numFmtId="4" xfId="0" applyAlignment="1" applyBorder="1" applyFont="1" applyNumberFormat="1">
      <alignment horizontal="center" readingOrder="0" vertical="center"/>
    </xf>
    <xf borderId="13" fillId="101" fontId="21" numFmtId="4" xfId="0" applyAlignment="1" applyBorder="1" applyFill="1" applyFont="1" applyNumberFormat="1">
      <alignment horizontal="center" readingOrder="0" vertical="center"/>
    </xf>
    <xf borderId="13" fillId="102" fontId="21" numFmtId="4" xfId="0" applyAlignment="1" applyBorder="1" applyFill="1" applyFont="1" applyNumberFormat="1">
      <alignment horizontal="center" readingOrder="0" vertical="center"/>
    </xf>
    <xf borderId="13" fillId="93" fontId="21" numFmtId="2" xfId="0" applyAlignment="1" applyBorder="1" applyFont="1" applyNumberFormat="1">
      <alignment horizontal="center" readingOrder="0" vertical="center"/>
    </xf>
    <xf borderId="18" fillId="43" fontId="21" numFmtId="4" xfId="0" applyAlignment="1" applyBorder="1" applyFont="1" applyNumberFormat="1">
      <alignment horizontal="center" readingOrder="0" vertical="center"/>
    </xf>
    <xf borderId="18" fillId="74" fontId="21" numFmtId="4" xfId="0" applyAlignment="1" applyBorder="1" applyFont="1" applyNumberFormat="1">
      <alignment horizontal="center" readingOrder="0" vertical="center"/>
    </xf>
    <xf borderId="18" fillId="102" fontId="21" numFmtId="4" xfId="0" applyAlignment="1" applyBorder="1" applyFont="1" applyNumberFormat="1">
      <alignment horizontal="center" readingOrder="0" vertical="center"/>
    </xf>
    <xf borderId="15" fillId="64" fontId="28" numFmtId="0" xfId="0" applyAlignment="1" applyBorder="1" applyFont="1">
      <alignment horizontal="center" shrinkToFit="0" textRotation="90" vertical="center" wrapText="1"/>
    </xf>
    <xf borderId="16" fillId="73" fontId="21" numFmtId="4" xfId="0" applyAlignment="1" applyBorder="1" applyFont="1" applyNumberFormat="1">
      <alignment horizontal="center" readingOrder="0" vertical="center"/>
    </xf>
    <xf borderId="16" fillId="79" fontId="21" numFmtId="4" xfId="0" applyAlignment="1" applyBorder="1" applyFont="1" applyNumberFormat="1">
      <alignment horizontal="center" readingOrder="0" vertical="center"/>
    </xf>
    <xf borderId="16" fillId="66" fontId="21" numFmtId="4" xfId="0" applyAlignment="1" applyBorder="1" applyFont="1" applyNumberFormat="1">
      <alignment horizontal="center" readingOrder="0" vertical="center"/>
    </xf>
    <xf borderId="13" fillId="29" fontId="21" numFmtId="2" xfId="0" applyAlignment="1" applyBorder="1" applyFont="1" applyNumberFormat="1">
      <alignment horizontal="center" readingOrder="0" vertical="center"/>
    </xf>
    <xf borderId="13" fillId="103" fontId="21" numFmtId="4" xfId="0" applyAlignment="1" applyBorder="1" applyFill="1" applyFont="1" applyNumberFormat="1">
      <alignment horizontal="center" readingOrder="0" vertical="center"/>
    </xf>
    <xf borderId="13" fillId="104" fontId="21" numFmtId="4" xfId="0" applyAlignment="1" applyBorder="1" applyFill="1" applyFont="1" applyNumberFormat="1">
      <alignment horizontal="center" readingOrder="0" vertical="center"/>
    </xf>
    <xf borderId="13" fillId="105" fontId="21" numFmtId="4" xfId="0" applyAlignment="1" applyBorder="1" applyFill="1" applyFont="1" applyNumberFormat="1">
      <alignment horizontal="center" readingOrder="0" vertical="center"/>
    </xf>
    <xf borderId="13" fillId="32" fontId="21" numFmtId="2" xfId="0" applyAlignment="1" applyBorder="1" applyFont="1" applyNumberFormat="1">
      <alignment horizontal="center" readingOrder="0" vertical="center"/>
    </xf>
    <xf borderId="13" fillId="106" fontId="21" numFmtId="2" xfId="0" applyAlignment="1" applyBorder="1" applyFill="1" applyFont="1" applyNumberFormat="1">
      <alignment horizontal="center" readingOrder="0" vertical="center"/>
    </xf>
    <xf borderId="0" fillId="3" fontId="9" numFmtId="0" xfId="0" applyAlignment="1" applyFont="1">
      <alignment horizontal="left" shrinkToFit="0" vertical="center" wrapText="0"/>
    </xf>
    <xf borderId="13" fillId="107" fontId="21" numFmtId="4" xfId="0" applyAlignment="1" applyBorder="1" applyFill="1" applyFont="1" applyNumberFormat="1">
      <alignment horizontal="center" readingOrder="0" vertical="center"/>
    </xf>
    <xf borderId="13" fillId="20" fontId="21" numFmtId="2" xfId="0" applyAlignment="1" applyBorder="1" applyFont="1" applyNumberFormat="1">
      <alignment horizontal="center" readingOrder="0" vertical="center"/>
    </xf>
    <xf borderId="0" fillId="3" fontId="29" numFmtId="0" xfId="0" applyAlignment="1" applyFont="1">
      <alignment horizontal="center" shrinkToFit="0" vertical="center" wrapText="0"/>
    </xf>
    <xf borderId="12" fillId="2" fontId="22" numFmtId="2" xfId="0" applyAlignment="1" applyBorder="1" applyFont="1" applyNumberFormat="1">
      <alignment horizontal="center" readingOrder="0" shrinkToFit="0" vertical="center" wrapText="1"/>
    </xf>
    <xf borderId="12" fillId="8" fontId="21" numFmtId="2" xfId="0" applyAlignment="1" applyBorder="1" applyFont="1" applyNumberFormat="1">
      <alignment horizontal="center" vertical="center"/>
    </xf>
    <xf borderId="12" fillId="4" fontId="23" numFmtId="2" xfId="0" applyAlignment="1" applyBorder="1" applyFont="1" applyNumberFormat="1">
      <alignment horizontal="center" readingOrder="0" shrinkToFit="0" vertical="center" wrapText="1"/>
    </xf>
    <xf borderId="12" fillId="4" fontId="19" numFmtId="2" xfId="0" applyAlignment="1" applyBorder="1" applyFont="1" applyNumberFormat="1">
      <alignment horizontal="center" readingOrder="0" shrinkToFit="0" vertical="center" wrapText="1"/>
    </xf>
    <xf borderId="12" fillId="108" fontId="21" numFmtId="2" xfId="0" applyAlignment="1" applyBorder="1" applyFill="1" applyFont="1" applyNumberFormat="1">
      <alignment horizontal="center" readingOrder="0" vertical="center"/>
    </xf>
    <xf borderId="0" fillId="3" fontId="18" numFmtId="0" xfId="0" applyFont="1"/>
    <xf borderId="15" fillId="4" fontId="23" numFmtId="2" xfId="0" applyAlignment="1" applyBorder="1" applyFont="1" applyNumberFormat="1">
      <alignment horizontal="center" readingOrder="0" shrinkToFit="0" vertical="center" wrapText="1"/>
    </xf>
    <xf borderId="12" fillId="109" fontId="21" numFmtId="2" xfId="0" applyAlignment="1" applyBorder="1" applyFill="1" applyFont="1" applyNumberFormat="1">
      <alignment horizontal="center" readingOrder="0" vertical="center"/>
    </xf>
    <xf borderId="0" fillId="3" fontId="30" numFmtId="0" xfId="0" applyAlignment="1" applyFont="1">
      <alignment horizontal="center" shrinkToFit="0" vertical="center" wrapText="0"/>
    </xf>
    <xf borderId="7" fillId="3" fontId="18" numFmtId="0" xfId="0" applyBorder="1" applyFont="1"/>
    <xf borderId="13" fillId="71" fontId="24" numFmtId="0" xfId="0" applyAlignment="1" applyBorder="1" applyFont="1">
      <alignment horizontal="center" vertical="center"/>
    </xf>
    <xf borderId="27" fillId="5" fontId="9" numFmtId="0" xfId="0" applyAlignment="1" applyBorder="1" applyFont="1">
      <alignment horizontal="center" readingOrder="0" shrinkToFit="0" textRotation="0" vertical="center" wrapText="1"/>
    </xf>
    <xf borderId="5" fillId="3" fontId="18" numFmtId="0" xfId="0" applyAlignment="1" applyBorder="1" applyFont="1">
      <alignment horizontal="center" shrinkToFit="0" wrapText="1"/>
    </xf>
    <xf borderId="0" fillId="3" fontId="18" numFmtId="0" xfId="0" applyAlignment="1" applyFont="1">
      <alignment horizontal="center" shrinkToFit="0" wrapText="1"/>
    </xf>
    <xf borderId="33" fillId="3" fontId="9" numFmtId="0" xfId="0" applyAlignment="1" applyBorder="1" applyFont="1">
      <alignment horizontal="center" shrinkToFit="0" vertical="center" wrapText="0"/>
    </xf>
    <xf borderId="12" fillId="64" fontId="24" numFmtId="0" xfId="0" applyAlignment="1" applyBorder="1" applyFont="1">
      <alignment horizontal="center" vertical="center"/>
    </xf>
    <xf borderId="34" fillId="5" fontId="9" numFmtId="0" xfId="0" applyAlignment="1" applyBorder="1" applyFont="1">
      <alignment horizontal="center" readingOrder="0" shrinkToFit="0" textRotation="0" vertical="center" wrapText="1"/>
    </xf>
    <xf borderId="35" fillId="0" fontId="1" numFmtId="0" xfId="0" applyBorder="1" applyFont="1"/>
    <xf borderId="36" fillId="0" fontId="1" numFmtId="0" xfId="0" applyBorder="1" applyFont="1"/>
    <xf borderId="37" fillId="2" fontId="17" numFmtId="0" xfId="0" applyAlignment="1" applyBorder="1" applyFont="1">
      <alignment horizontal="center" readingOrder="0" shrinkToFit="0" vertical="center" wrapText="1"/>
    </xf>
    <xf borderId="38" fillId="0" fontId="1" numFmtId="0" xfId="0" applyBorder="1" applyFont="1"/>
    <xf borderId="39" fillId="0" fontId="1" numFmtId="0" xfId="0" applyBorder="1" applyFont="1"/>
    <xf borderId="11" fillId="3" fontId="18" numFmtId="0" xfId="0" applyAlignment="1" applyBorder="1" applyFont="1">
      <alignment vertical="center"/>
    </xf>
    <xf borderId="40" fillId="2" fontId="17" numFmtId="0" xfId="0" applyAlignment="1" applyBorder="1" applyFont="1">
      <alignment horizontal="center" readingOrder="0" shrinkToFit="0" vertical="center" wrapText="1"/>
    </xf>
    <xf borderId="41" fillId="0" fontId="1" numFmtId="0" xfId="0" applyBorder="1" applyFont="1"/>
    <xf borderId="42" fillId="0" fontId="1" numFmtId="0" xfId="0" applyBorder="1" applyFont="1"/>
    <xf borderId="0" fillId="3" fontId="17" numFmtId="0" xfId="0" applyAlignment="1" applyFont="1">
      <alignment horizontal="center" readingOrder="0" shrinkToFit="0" vertical="center" wrapText="1"/>
    </xf>
    <xf borderId="5" fillId="4" fontId="27" numFmtId="4" xfId="0" applyAlignment="1" applyBorder="1" applyFont="1" applyNumberFormat="1">
      <alignment horizontal="center" shrinkToFit="0" vertical="center" wrapText="1"/>
    </xf>
    <xf borderId="5" fillId="4" fontId="27" numFmtId="0" xfId="0" applyAlignment="1" applyBorder="1" applyFont="1">
      <alignment horizontal="center" shrinkToFit="0" vertical="center" wrapText="1"/>
    </xf>
    <xf borderId="43" fillId="4" fontId="27" numFmtId="0" xfId="0" applyAlignment="1" applyBorder="1" applyFont="1">
      <alignment horizontal="center" shrinkToFit="0" vertical="center" wrapText="1"/>
    </xf>
    <xf borderId="11" fillId="3" fontId="18" numFmtId="2" xfId="0" applyAlignment="1" applyBorder="1" applyFont="1" applyNumberFormat="1">
      <alignment vertical="center"/>
    </xf>
    <xf borderId="43" fillId="4" fontId="27" numFmtId="2" xfId="0" applyAlignment="1" applyBorder="1" applyFont="1" applyNumberFormat="1">
      <alignment horizontal="center" shrinkToFit="0" vertical="center" wrapText="1"/>
    </xf>
    <xf borderId="44" fillId="4" fontId="27" numFmtId="2" xfId="0" applyAlignment="1" applyBorder="1" applyFont="1" applyNumberFormat="1">
      <alignment horizontal="center" shrinkToFit="0" vertical="center" wrapText="1"/>
    </xf>
    <xf borderId="0" fillId="3" fontId="17" numFmtId="0" xfId="0" applyAlignment="1" applyFont="1">
      <alignment horizontal="center" shrinkToFit="0" vertical="center" wrapText="0"/>
    </xf>
    <xf borderId="0" fillId="3" fontId="27" numFmtId="2" xfId="0" applyAlignment="1" applyFont="1" applyNumberFormat="1">
      <alignment horizontal="center" shrinkToFit="0" vertical="center" wrapText="1"/>
    </xf>
    <xf borderId="12" fillId="6" fontId="11" numFmtId="0" xfId="0" applyAlignment="1" applyBorder="1" applyFont="1">
      <alignment horizontal="center" shrinkToFit="0" textRotation="90" vertical="center" wrapText="1"/>
    </xf>
    <xf borderId="45" fillId="8" fontId="21" numFmtId="4" xfId="0" applyAlignment="1" applyBorder="1" applyFont="1" applyNumberFormat="1">
      <alignment horizontal="center" readingOrder="0" vertical="center"/>
    </xf>
    <xf borderId="13" fillId="110" fontId="21" numFmtId="4" xfId="0" applyAlignment="1" applyBorder="1" applyFill="1" applyFont="1" applyNumberFormat="1">
      <alignment horizontal="center" readingOrder="0" vertical="center"/>
    </xf>
    <xf borderId="0" fillId="8" fontId="21" numFmtId="4" xfId="0" applyAlignment="1" applyFont="1" applyNumberFormat="1">
      <alignment horizontal="center" readingOrder="0" vertical="center"/>
    </xf>
    <xf borderId="46" fillId="8" fontId="21" numFmtId="4" xfId="0" applyAlignment="1" applyBorder="1" applyFont="1" applyNumberFormat="1">
      <alignment horizontal="center" readingOrder="0" vertical="center"/>
    </xf>
    <xf borderId="41" fillId="8" fontId="21" numFmtId="4" xfId="0" applyAlignment="1" applyBorder="1" applyFont="1" applyNumberFormat="1">
      <alignment horizontal="center" readingOrder="0" vertical="center"/>
    </xf>
    <xf borderId="47" fillId="13" fontId="21" numFmtId="4" xfId="0" applyAlignment="1" applyBorder="1" applyFont="1" applyNumberFormat="1">
      <alignment horizontal="center" readingOrder="0" vertical="center"/>
    </xf>
    <xf borderId="48" fillId="66" fontId="21" numFmtId="4" xfId="0" applyAlignment="1" applyBorder="1" applyFont="1" applyNumberFormat="1">
      <alignment horizontal="center" readingOrder="0" vertical="center"/>
    </xf>
    <xf borderId="47" fillId="2" fontId="21" numFmtId="4" xfId="0" applyAlignment="1" applyBorder="1" applyFont="1" applyNumberFormat="1">
      <alignment horizontal="center" readingOrder="0" vertical="center"/>
    </xf>
    <xf borderId="48" fillId="2" fontId="21" numFmtId="4" xfId="0" applyAlignment="1" applyBorder="1" applyFont="1" applyNumberFormat="1">
      <alignment horizontal="center" readingOrder="0" vertical="center"/>
    </xf>
    <xf borderId="0" fillId="3" fontId="30" numFmtId="4" xfId="0" applyAlignment="1" applyFont="1" applyNumberFormat="1">
      <alignment horizontal="center" shrinkToFit="0" vertical="center" wrapText="1"/>
    </xf>
    <xf borderId="0" fillId="3" fontId="21" numFmtId="4" xfId="0" applyAlignment="1" applyFont="1" applyNumberFormat="1">
      <alignment horizontal="center" readingOrder="0" vertical="center"/>
    </xf>
    <xf borderId="13" fillId="111" fontId="21" numFmtId="4" xfId="0" applyAlignment="1" applyBorder="1" applyFill="1" applyFont="1" applyNumberFormat="1">
      <alignment horizontal="center" readingOrder="0" vertical="center"/>
    </xf>
    <xf borderId="46" fillId="0" fontId="1" numFmtId="0" xfId="0" applyBorder="1" applyFont="1"/>
    <xf borderId="13" fillId="100" fontId="21" numFmtId="4" xfId="0" applyAlignment="1" applyBorder="1" applyFont="1" applyNumberFormat="1">
      <alignment horizontal="center" readingOrder="0" vertical="center"/>
    </xf>
    <xf borderId="49" fillId="13" fontId="21" numFmtId="4" xfId="0" applyAlignment="1" applyBorder="1" applyFont="1" applyNumberFormat="1">
      <alignment horizontal="center" readingOrder="0" vertical="center"/>
    </xf>
    <xf borderId="44" fillId="86" fontId="21" numFmtId="4" xfId="0" applyAlignment="1" applyBorder="1" applyFont="1" applyNumberFormat="1">
      <alignment horizontal="center" readingOrder="0" vertical="center"/>
    </xf>
    <xf borderId="49" fillId="60" fontId="21" numFmtId="4" xfId="0" applyAlignment="1" applyBorder="1" applyFont="1" applyNumberFormat="1">
      <alignment horizontal="center" readingOrder="0" vertical="center"/>
    </xf>
    <xf borderId="44" fillId="66" fontId="21" numFmtId="4" xfId="0" applyAlignment="1" applyBorder="1" applyFont="1" applyNumberFormat="1">
      <alignment horizontal="center" readingOrder="0" vertical="center"/>
    </xf>
    <xf borderId="13" fillId="18" fontId="21" numFmtId="4" xfId="0" applyAlignment="1" applyBorder="1" applyFont="1" applyNumberFormat="1">
      <alignment horizontal="center" readingOrder="0" vertical="center"/>
    </xf>
    <xf borderId="13" fillId="112" fontId="21" numFmtId="4" xfId="0" applyAlignment="1" applyBorder="1" applyFill="1" applyFont="1" applyNumberFormat="1">
      <alignment horizontal="center" readingOrder="0" vertical="center"/>
    </xf>
    <xf borderId="46" fillId="13" fontId="21" numFmtId="4" xfId="0" applyAlignment="1" applyBorder="1" applyFont="1" applyNumberFormat="1">
      <alignment horizontal="center" readingOrder="0" vertical="center"/>
    </xf>
    <xf borderId="11" fillId="2" fontId="21" numFmtId="4" xfId="0" applyAlignment="1" applyBorder="1" applyFont="1" applyNumberFormat="1">
      <alignment horizontal="center" readingOrder="0" vertical="center"/>
    </xf>
    <xf borderId="46" fillId="84" fontId="21" numFmtId="4" xfId="0" applyAlignment="1" applyBorder="1" applyFont="1" applyNumberFormat="1">
      <alignment horizontal="center" readingOrder="0" vertical="center"/>
    </xf>
    <xf borderId="13" fillId="113" fontId="21" numFmtId="4" xfId="0" applyAlignment="1" applyBorder="1" applyFill="1" applyFont="1" applyNumberFormat="1">
      <alignment horizontal="center" readingOrder="0" vertical="center"/>
    </xf>
    <xf borderId="50" fillId="13" fontId="21" numFmtId="4" xfId="0" applyAlignment="1" applyBorder="1" applyFont="1" applyNumberFormat="1">
      <alignment horizontal="center" readingOrder="0" vertical="center"/>
    </xf>
    <xf borderId="50" fillId="66" fontId="21" numFmtId="4" xfId="0" applyAlignment="1" applyBorder="1" applyFont="1" applyNumberFormat="1">
      <alignment horizontal="center" readingOrder="0" vertical="center"/>
    </xf>
    <xf borderId="51" fillId="12" fontId="21" numFmtId="4" xfId="0" applyAlignment="1" applyBorder="1" applyFont="1" applyNumberFormat="1">
      <alignment horizontal="center" readingOrder="0" vertical="center"/>
    </xf>
    <xf borderId="51" fillId="97" fontId="21" numFmtId="4" xfId="0" applyAlignment="1" applyBorder="1" applyFont="1" applyNumberFormat="1">
      <alignment horizontal="center" readingOrder="0" vertical="center"/>
    </xf>
    <xf borderId="13" fillId="114" fontId="21" numFmtId="4" xfId="0" applyAlignment="1" applyBorder="1" applyFill="1" applyFont="1" applyNumberFormat="1">
      <alignment horizontal="center" readingOrder="0" vertical="center"/>
    </xf>
    <xf borderId="52" fillId="0" fontId="1" numFmtId="0" xfId="0" applyBorder="1" applyFont="1"/>
    <xf borderId="52" fillId="2" fontId="21" numFmtId="4" xfId="0" applyAlignment="1" applyBorder="1" applyFont="1" applyNumberFormat="1">
      <alignment horizontal="center" readingOrder="0" vertical="center"/>
    </xf>
    <xf borderId="53" fillId="2" fontId="21" numFmtId="4" xfId="0" applyAlignment="1" applyBorder="1" applyFont="1" applyNumberFormat="1">
      <alignment horizontal="center" readingOrder="0" vertical="center"/>
    </xf>
    <xf borderId="54" fillId="8" fontId="21" numFmtId="4" xfId="0" applyAlignment="1" applyBorder="1" applyFont="1" applyNumberFormat="1">
      <alignment horizontal="center" readingOrder="0" vertical="center"/>
    </xf>
    <xf borderId="55" fillId="0" fontId="1" numFmtId="0" xfId="0" applyBorder="1" applyFont="1"/>
    <xf borderId="52" fillId="8" fontId="21" numFmtId="4" xfId="0" applyAlignment="1" applyBorder="1" applyFont="1" applyNumberFormat="1">
      <alignment horizontal="center" readingOrder="0" vertical="center"/>
    </xf>
    <xf borderId="55" fillId="8" fontId="21" numFmtId="4" xfId="0" applyAlignment="1" applyBorder="1" applyFont="1" applyNumberFormat="1">
      <alignment horizontal="center" readingOrder="0" vertical="center"/>
    </xf>
    <xf borderId="56" fillId="2" fontId="21" numFmtId="4" xfId="0" applyAlignment="1" applyBorder="1" applyFont="1" applyNumberFormat="1">
      <alignment horizontal="center" readingOrder="0" vertical="center"/>
    </xf>
    <xf borderId="52" fillId="58" fontId="21" numFmtId="4" xfId="0" applyAlignment="1" applyBorder="1" applyFont="1" applyNumberFormat="1">
      <alignment horizontal="center" readingOrder="0" vertical="center"/>
    </xf>
    <xf borderId="52" fillId="111" fontId="21" numFmtId="4" xfId="0" applyAlignment="1" applyBorder="1" applyFont="1" applyNumberFormat="1">
      <alignment horizontal="center" readingOrder="0" vertical="center"/>
    </xf>
    <xf borderId="56" fillId="115" fontId="21" numFmtId="4" xfId="0" applyAlignment="1" applyBorder="1" applyFill="1" applyFont="1" applyNumberFormat="1">
      <alignment horizontal="center" readingOrder="0" vertical="center"/>
    </xf>
    <xf borderId="18" fillId="66" fontId="21" numFmtId="4" xfId="0" applyAlignment="1" applyBorder="1" applyFont="1" applyNumberFormat="1">
      <alignment horizontal="center" readingOrder="0" vertical="center"/>
    </xf>
    <xf borderId="52" fillId="59" fontId="21" numFmtId="4" xfId="0" applyAlignment="1" applyBorder="1" applyFont="1" applyNumberFormat="1">
      <alignment horizontal="center" readingOrder="0" vertical="center"/>
    </xf>
    <xf borderId="56" fillId="57" fontId="21" numFmtId="4" xfId="0" applyAlignment="1" applyBorder="1" applyFont="1" applyNumberFormat="1">
      <alignment horizontal="center" readingOrder="0" vertical="center"/>
    </xf>
    <xf borderId="18" fillId="116" fontId="21" numFmtId="4" xfId="0" applyAlignment="1" applyBorder="1" applyFill="1" applyFont="1" applyNumberFormat="1">
      <alignment horizontal="center" readingOrder="0" vertical="center"/>
    </xf>
    <xf borderId="18" fillId="10" fontId="21" numFmtId="4" xfId="0" applyAlignment="1" applyBorder="1" applyFont="1" applyNumberFormat="1">
      <alignment horizontal="center" readingOrder="0" vertical="center"/>
    </xf>
    <xf borderId="12" fillId="21" fontId="11" numFmtId="0" xfId="0" applyAlignment="1" applyBorder="1" applyFont="1">
      <alignment horizontal="center" shrinkToFit="0" textRotation="90" vertical="center" wrapText="1"/>
    </xf>
    <xf borderId="49" fillId="79" fontId="21" numFmtId="4" xfId="0" applyAlignment="1" applyBorder="1" applyFont="1" applyNumberFormat="1">
      <alignment horizontal="center" readingOrder="0" vertical="center"/>
    </xf>
    <xf borderId="44" fillId="38" fontId="21" numFmtId="4" xfId="0" applyAlignment="1" applyBorder="1" applyFont="1" applyNumberFormat="1">
      <alignment horizontal="center" readingOrder="0" vertical="center"/>
    </xf>
    <xf borderId="49" fillId="2" fontId="21" numFmtId="4" xfId="0" applyAlignment="1" applyBorder="1" applyFont="1" applyNumberFormat="1">
      <alignment horizontal="center" readingOrder="0" vertical="center"/>
    </xf>
    <xf borderId="44" fillId="2" fontId="21" numFmtId="4" xfId="0" applyAlignment="1" applyBorder="1" applyFont="1" applyNumberFormat="1">
      <alignment horizontal="center" readingOrder="0" vertical="center"/>
    </xf>
    <xf borderId="49" fillId="36" fontId="21" numFmtId="4" xfId="0" applyAlignment="1" applyBorder="1" applyFont="1" applyNumberFormat="1">
      <alignment horizontal="center" readingOrder="0" vertical="center"/>
    </xf>
    <xf borderId="49" fillId="58" fontId="21" numFmtId="4" xfId="0" applyAlignment="1" applyBorder="1" applyFont="1" applyNumberFormat="1">
      <alignment horizontal="center" readingOrder="0" vertical="center"/>
    </xf>
    <xf borderId="49" fillId="63" fontId="21" numFmtId="4" xfId="0" applyAlignment="1" applyBorder="1" applyFont="1" applyNumberFormat="1">
      <alignment horizontal="center" readingOrder="0" vertical="center"/>
    </xf>
    <xf borderId="44" fillId="97" fontId="21" numFmtId="4" xfId="0" applyAlignment="1" applyBorder="1" applyFont="1" applyNumberFormat="1">
      <alignment horizontal="center" readingOrder="0" vertical="center"/>
    </xf>
    <xf borderId="16" fillId="112" fontId="21" numFmtId="4" xfId="0" applyAlignment="1" applyBorder="1" applyFont="1" applyNumberFormat="1">
      <alignment horizontal="center" readingOrder="0" vertical="center"/>
    </xf>
    <xf borderId="16" fillId="39" fontId="21" numFmtId="4" xfId="0" applyAlignment="1" applyBorder="1" applyFont="1" applyNumberFormat="1">
      <alignment horizontal="center" readingOrder="0" vertical="center"/>
    </xf>
    <xf borderId="16" fillId="105" fontId="21" numFmtId="4" xfId="0" applyAlignment="1" applyBorder="1" applyFont="1" applyNumberFormat="1">
      <alignment horizontal="center" readingOrder="0" vertical="center"/>
    </xf>
    <xf borderId="49" fillId="25" fontId="21" numFmtId="4" xfId="0" applyAlignment="1" applyBorder="1" applyFont="1" applyNumberFormat="1">
      <alignment horizontal="center" readingOrder="0" vertical="center"/>
    </xf>
    <xf borderId="44" fillId="106" fontId="21" numFmtId="4" xfId="0" applyAlignment="1" applyBorder="1" applyFont="1" applyNumberFormat="1">
      <alignment horizontal="center" readingOrder="0" vertical="center"/>
    </xf>
    <xf borderId="49" fillId="51" fontId="21" numFmtId="4" xfId="0" applyAlignment="1" applyBorder="1" applyFont="1" applyNumberFormat="1">
      <alignment horizontal="center" readingOrder="0" vertical="center"/>
    </xf>
    <xf borderId="49" fillId="16" fontId="21" numFmtId="4" xfId="0" applyAlignment="1" applyBorder="1" applyFont="1" applyNumberFormat="1">
      <alignment horizontal="center" readingOrder="0" vertical="center"/>
    </xf>
    <xf borderId="44" fillId="117" fontId="21" numFmtId="4" xfId="0" applyAlignment="1" applyBorder="1" applyFill="1" applyFont="1" applyNumberFormat="1">
      <alignment horizontal="center" readingOrder="0" vertical="center"/>
    </xf>
    <xf borderId="44" fillId="118" fontId="21" numFmtId="4" xfId="0" applyAlignment="1" applyBorder="1" applyFill="1" applyFont="1" applyNumberFormat="1">
      <alignment horizontal="center" readingOrder="0" vertical="center"/>
    </xf>
    <xf borderId="49" fillId="101" fontId="21" numFmtId="4" xfId="0" applyAlignment="1" applyBorder="1" applyFont="1" applyNumberFormat="1">
      <alignment horizontal="center" readingOrder="0" vertical="center"/>
    </xf>
    <xf borderId="44" fillId="73" fontId="21" numFmtId="4" xfId="0" applyAlignment="1" applyBorder="1" applyFont="1" applyNumberFormat="1">
      <alignment horizontal="center" readingOrder="0" vertical="center"/>
    </xf>
    <xf borderId="49" fillId="74" fontId="21" numFmtId="4" xfId="0" applyAlignment="1" applyBorder="1" applyFont="1" applyNumberFormat="1">
      <alignment horizontal="center" readingOrder="0" vertical="center"/>
    </xf>
    <xf borderId="49" fillId="111" fontId="21" numFmtId="4" xfId="0" applyAlignment="1" applyBorder="1" applyFont="1" applyNumberFormat="1">
      <alignment horizontal="center" readingOrder="0" vertical="center"/>
    </xf>
    <xf borderId="49" fillId="26" fontId="21" numFmtId="4" xfId="0" applyAlignment="1" applyBorder="1" applyFont="1" applyNumberFormat="1">
      <alignment horizontal="center" readingOrder="0" vertical="center"/>
    </xf>
    <xf borderId="49" fillId="112" fontId="21" numFmtId="4" xfId="0" applyAlignment="1" applyBorder="1" applyFont="1" applyNumberFormat="1">
      <alignment horizontal="center" readingOrder="0" vertical="center"/>
    </xf>
    <xf borderId="49" fillId="27" fontId="21" numFmtId="4" xfId="0" applyAlignment="1" applyBorder="1" applyFont="1" applyNumberFormat="1">
      <alignment horizontal="center" readingOrder="0" vertical="center"/>
    </xf>
    <xf borderId="44" fillId="85" fontId="21" numFmtId="4" xfId="0" applyAlignment="1" applyBorder="1" applyFont="1" applyNumberFormat="1">
      <alignment horizontal="center" readingOrder="0" vertical="center"/>
    </xf>
    <xf borderId="49" fillId="23" fontId="21" numFmtId="4" xfId="0" applyAlignment="1" applyBorder="1" applyFont="1" applyNumberFormat="1">
      <alignment horizontal="center" readingOrder="0" vertical="center"/>
    </xf>
    <xf borderId="49" fillId="92" fontId="21" numFmtId="4" xfId="0" applyAlignment="1" applyBorder="1" applyFont="1" applyNumberFormat="1">
      <alignment horizontal="center" readingOrder="0" vertical="center"/>
    </xf>
    <xf borderId="49" fillId="20" fontId="21" numFmtId="4" xfId="0" applyAlignment="1" applyBorder="1" applyFont="1" applyNumberFormat="1">
      <alignment horizontal="center" readingOrder="0" vertical="center"/>
    </xf>
    <xf borderId="44" fillId="119" fontId="21" numFmtId="4" xfId="0" applyAlignment="1" applyBorder="1" applyFill="1" applyFont="1" applyNumberFormat="1">
      <alignment horizontal="center" readingOrder="0" vertical="center"/>
    </xf>
    <xf borderId="46" fillId="2" fontId="21" numFmtId="4" xfId="0" applyAlignment="1" applyBorder="1" applyFont="1" applyNumberFormat="1">
      <alignment horizontal="center" readingOrder="0" vertical="center"/>
    </xf>
    <xf borderId="46" fillId="79" fontId="21" numFmtId="4" xfId="0" applyAlignment="1" applyBorder="1" applyFont="1" applyNumberFormat="1">
      <alignment horizontal="center" readingOrder="0" vertical="center"/>
    </xf>
    <xf borderId="46" fillId="69" fontId="21" numFmtId="4" xfId="0" applyAlignment="1" applyBorder="1" applyFont="1" applyNumberFormat="1">
      <alignment horizontal="center" readingOrder="0" vertical="center"/>
    </xf>
    <xf borderId="46" fillId="9" fontId="21" numFmtId="4" xfId="0" applyAlignment="1" applyBorder="1" applyFont="1" applyNumberFormat="1">
      <alignment horizontal="center" readingOrder="0" vertical="center"/>
    </xf>
    <xf borderId="46" fillId="59" fontId="21" numFmtId="4" xfId="0" applyAlignment="1" applyBorder="1" applyFont="1" applyNumberFormat="1">
      <alignment horizontal="center" readingOrder="0" vertical="center"/>
    </xf>
    <xf borderId="11" fillId="66" fontId="21" numFmtId="4" xfId="0" applyAlignment="1" applyBorder="1" applyFont="1" applyNumberFormat="1">
      <alignment horizontal="center" readingOrder="0" vertical="center"/>
    </xf>
    <xf borderId="46" fillId="92" fontId="21" numFmtId="4" xfId="0" applyAlignment="1" applyBorder="1" applyFont="1" applyNumberFormat="1">
      <alignment horizontal="center" readingOrder="0" vertical="center"/>
    </xf>
    <xf borderId="11" fillId="44" fontId="21" numFmtId="4" xfId="0" applyAlignment="1" applyBorder="1" applyFont="1" applyNumberFormat="1">
      <alignment horizontal="center" readingOrder="0" vertical="center"/>
    </xf>
    <xf borderId="12" fillId="60" fontId="21" numFmtId="4" xfId="0" applyAlignment="1" applyBorder="1" applyFont="1" applyNumberFormat="1">
      <alignment horizontal="center" readingOrder="0" vertical="center"/>
    </xf>
    <xf borderId="12" fillId="120" fontId="21" numFmtId="4" xfId="0" applyAlignment="1" applyBorder="1" applyFill="1" applyFont="1" applyNumberFormat="1">
      <alignment horizontal="center" readingOrder="0" vertical="center"/>
    </xf>
    <xf borderId="12" fillId="34" fontId="11" numFmtId="0" xfId="0" applyAlignment="1" applyBorder="1" applyFont="1">
      <alignment horizontal="center" shrinkToFit="0" textRotation="90" vertical="center" wrapText="1"/>
    </xf>
    <xf borderId="23" fillId="73" fontId="21" numFmtId="4" xfId="0" applyAlignment="1" applyBorder="1" applyFont="1" applyNumberFormat="1">
      <alignment horizontal="center" readingOrder="0" vertical="center"/>
    </xf>
    <xf borderId="57" fillId="8" fontId="21" numFmtId="4" xfId="0" applyAlignment="1" applyBorder="1" applyFont="1" applyNumberFormat="1">
      <alignment horizontal="center" readingOrder="0" vertical="center"/>
    </xf>
    <xf borderId="58" fillId="8" fontId="21" numFmtId="4" xfId="0" applyAlignment="1" applyBorder="1" applyFont="1" applyNumberFormat="1">
      <alignment horizontal="center" readingOrder="0" vertical="center"/>
    </xf>
    <xf borderId="59" fillId="47" fontId="21" numFmtId="4" xfId="0" applyAlignment="1" applyBorder="1" applyFont="1" applyNumberFormat="1">
      <alignment horizontal="center" readingOrder="0" vertical="center"/>
    </xf>
    <xf borderId="60" fillId="38" fontId="21" numFmtId="4" xfId="0" applyAlignment="1" applyBorder="1" applyFont="1" applyNumberFormat="1">
      <alignment horizontal="center" readingOrder="0" vertical="center"/>
    </xf>
    <xf borderId="57" fillId="2" fontId="21" numFmtId="4" xfId="0" applyAlignment="1" applyBorder="1" applyFont="1" applyNumberFormat="1">
      <alignment horizontal="center" readingOrder="0" vertical="center"/>
    </xf>
    <xf borderId="61" fillId="2" fontId="21" numFmtId="4" xfId="0" applyAlignment="1" applyBorder="1" applyFont="1" applyNumberFormat="1">
      <alignment horizontal="center" readingOrder="0" vertical="center"/>
    </xf>
    <xf borderId="57" fillId="47" fontId="21" numFmtId="4" xfId="0" applyAlignment="1" applyBorder="1" applyFont="1" applyNumberFormat="1">
      <alignment horizontal="center" readingOrder="0" vertical="center"/>
    </xf>
    <xf borderId="57" fillId="29" fontId="21" numFmtId="4" xfId="0" applyAlignment="1" applyBorder="1" applyFont="1" applyNumberFormat="1">
      <alignment horizontal="center" readingOrder="0" vertical="center"/>
    </xf>
    <xf borderId="57" fillId="13" fontId="21" numFmtId="4" xfId="0" applyAlignment="1" applyBorder="1" applyFont="1" applyNumberFormat="1">
      <alignment horizontal="center" readingOrder="0" vertical="center"/>
    </xf>
    <xf borderId="61" fillId="121" fontId="21" numFmtId="4" xfId="0" applyAlignment="1" applyBorder="1" applyFill="1" applyFont="1" applyNumberFormat="1">
      <alignment horizontal="center" readingOrder="0" vertical="center"/>
    </xf>
    <xf borderId="61" fillId="66" fontId="21" numFmtId="4" xfId="0" applyAlignment="1" applyBorder="1" applyFont="1" applyNumberFormat="1">
      <alignment horizontal="center" readingOrder="0" vertical="center"/>
    </xf>
    <xf borderId="57" fillId="84" fontId="21" numFmtId="4" xfId="0" applyAlignment="1" applyBorder="1" applyFont="1" applyNumberFormat="1">
      <alignment horizontal="center" readingOrder="0" vertical="center"/>
    </xf>
    <xf borderId="23" fillId="96" fontId="21" numFmtId="4" xfId="0" applyAlignment="1" applyBorder="1" applyFont="1" applyNumberFormat="1">
      <alignment horizontal="center" readingOrder="0" vertical="center"/>
    </xf>
    <xf borderId="45" fillId="49" fontId="21" numFmtId="4" xfId="0" applyAlignment="1" applyBorder="1" applyFont="1" applyNumberFormat="1">
      <alignment horizontal="center" readingOrder="0" vertical="center"/>
    </xf>
    <xf borderId="42" fillId="86" fontId="21" numFmtId="4" xfId="0" applyAlignment="1" applyBorder="1" applyFont="1" applyNumberFormat="1">
      <alignment horizontal="center" readingOrder="0" vertical="center"/>
    </xf>
    <xf borderId="46" fillId="20" fontId="21" numFmtId="4" xfId="0" applyAlignment="1" applyBorder="1" applyFont="1" applyNumberFormat="1">
      <alignment horizontal="center" readingOrder="0" vertical="center"/>
    </xf>
    <xf borderId="0" fillId="79" fontId="21" numFmtId="4" xfId="0" applyAlignment="1" applyFont="1" applyNumberFormat="1">
      <alignment horizontal="center" readingOrder="0" vertical="center"/>
    </xf>
    <xf borderId="11" fillId="10" fontId="21" numFmtId="4" xfId="0" applyAlignment="1" applyBorder="1" applyFont="1" applyNumberFormat="1">
      <alignment horizontal="center" readingOrder="0" vertical="center"/>
    </xf>
    <xf borderId="0" fillId="59" fontId="21" numFmtId="4" xfId="0" applyAlignment="1" applyFont="1" applyNumberFormat="1">
      <alignment horizontal="center" readingOrder="0" vertical="center"/>
    </xf>
    <xf borderId="11" fillId="73" fontId="21" numFmtId="4" xfId="0" applyAlignment="1" applyBorder="1" applyFont="1" applyNumberFormat="1">
      <alignment horizontal="center" readingOrder="0" vertical="center"/>
    </xf>
    <xf borderId="0" fillId="2" fontId="21" numFmtId="4" xfId="0" applyAlignment="1" applyFont="1" applyNumberFormat="1">
      <alignment horizontal="center" readingOrder="0" vertical="center"/>
    </xf>
    <xf borderId="0" fillId="11" fontId="21" numFmtId="4" xfId="0" applyAlignment="1" applyFont="1" applyNumberFormat="1">
      <alignment horizontal="center" readingOrder="0" vertical="center"/>
    </xf>
    <xf borderId="0" fillId="13" fontId="21" numFmtId="4" xfId="0" applyAlignment="1" applyFont="1" applyNumberFormat="1">
      <alignment horizontal="center" readingOrder="0" vertical="center"/>
    </xf>
    <xf borderId="11" fillId="120" fontId="21" numFmtId="4" xfId="0" applyAlignment="1" applyBorder="1" applyFont="1" applyNumberFormat="1">
      <alignment horizontal="center" readingOrder="0" vertical="center"/>
    </xf>
    <xf borderId="11" fillId="97" fontId="21" numFmtId="4" xfId="0" applyAlignment="1" applyBorder="1" applyFont="1" applyNumberFormat="1">
      <alignment horizontal="center" readingOrder="0" vertical="center"/>
    </xf>
    <xf borderId="13" fillId="122" fontId="21" numFmtId="4" xfId="0" applyAlignment="1" applyBorder="1" applyFill="1" applyFont="1" applyNumberFormat="1">
      <alignment horizontal="center" readingOrder="0" vertical="center"/>
    </xf>
    <xf borderId="44" fillId="10" fontId="21" numFmtId="4" xfId="0" applyAlignment="1" applyBorder="1" applyFont="1" applyNumberFormat="1">
      <alignment horizontal="center" readingOrder="0" vertical="center"/>
    </xf>
    <xf borderId="49" fillId="59" fontId="21" numFmtId="4" xfId="0" applyAlignment="1" applyBorder="1" applyFont="1" applyNumberFormat="1">
      <alignment horizontal="center" readingOrder="0" vertical="center"/>
    </xf>
    <xf borderId="49" fillId="11" fontId="21" numFmtId="4" xfId="0" applyAlignment="1" applyBorder="1" applyFont="1" applyNumberFormat="1">
      <alignment horizontal="center" readingOrder="0" vertical="center"/>
    </xf>
    <xf borderId="44" fillId="120" fontId="21" numFmtId="4" xfId="0" applyAlignment="1" applyBorder="1" applyFont="1" applyNumberFormat="1">
      <alignment horizontal="center" readingOrder="0" vertical="center"/>
    </xf>
    <xf borderId="49" fillId="40" fontId="21" numFmtId="4" xfId="0" applyAlignment="1" applyBorder="1" applyFont="1" applyNumberFormat="1">
      <alignment horizontal="center" readingOrder="0" vertical="center"/>
    </xf>
    <xf borderId="49" fillId="62" fontId="21" numFmtId="4" xfId="0" applyAlignment="1" applyBorder="1" applyFont="1" applyNumberFormat="1">
      <alignment horizontal="center" readingOrder="0" vertical="center"/>
    </xf>
    <xf borderId="44" fillId="17" fontId="21" numFmtId="4" xfId="0" applyAlignment="1" applyBorder="1" applyFont="1" applyNumberFormat="1">
      <alignment horizontal="center" readingOrder="0" vertical="center"/>
    </xf>
    <xf borderId="44" fillId="123" fontId="21" numFmtId="4" xfId="0" applyAlignment="1" applyBorder="1" applyFill="1" applyFont="1" applyNumberFormat="1">
      <alignment horizontal="center" readingOrder="0" vertical="center"/>
    </xf>
    <xf borderId="52" fillId="3" fontId="9" numFmtId="0" xfId="0" applyAlignment="1" applyBorder="1" applyFont="1">
      <alignment horizontal="center" shrinkToFit="0" vertical="center" wrapText="1"/>
    </xf>
    <xf borderId="18" fillId="41" fontId="21" numFmtId="4" xfId="0" applyAlignment="1" applyBorder="1" applyFont="1" applyNumberFormat="1">
      <alignment horizontal="center" readingOrder="0" vertical="center"/>
    </xf>
    <xf borderId="18" fillId="117" fontId="21" numFmtId="4" xfId="0" applyAlignment="1" applyBorder="1" applyFont="1" applyNumberFormat="1">
      <alignment horizontal="center" readingOrder="0" vertical="center"/>
    </xf>
    <xf borderId="62" fillId="39" fontId="21" numFmtId="4" xfId="0" applyAlignment="1" applyBorder="1" applyFont="1" applyNumberFormat="1">
      <alignment horizontal="center" readingOrder="0" vertical="center"/>
    </xf>
    <xf borderId="63" fillId="124" fontId="21" numFmtId="4" xfId="0" applyAlignment="1" applyBorder="1" applyFill="1" applyFont="1" applyNumberFormat="1">
      <alignment horizontal="center" readingOrder="0" vertical="center"/>
    </xf>
    <xf borderId="62" fillId="2" fontId="21" numFmtId="4" xfId="0" applyAlignment="1" applyBorder="1" applyFont="1" applyNumberFormat="1">
      <alignment horizontal="center" readingOrder="0" vertical="center"/>
    </xf>
    <xf borderId="63" fillId="2" fontId="21" numFmtId="4" xfId="0" applyAlignment="1" applyBorder="1" applyFont="1" applyNumberFormat="1">
      <alignment horizontal="center" readingOrder="0" vertical="center"/>
    </xf>
    <xf borderId="62" fillId="80" fontId="21" numFmtId="4" xfId="0" applyAlignment="1" applyBorder="1" applyFont="1" applyNumberFormat="1">
      <alignment horizontal="center" readingOrder="0" vertical="center"/>
    </xf>
    <xf borderId="62" fillId="125" fontId="21" numFmtId="4" xfId="0" applyAlignment="1" applyBorder="1" applyFill="1" applyFont="1" applyNumberFormat="1">
      <alignment horizontal="center" readingOrder="0" vertical="center"/>
    </xf>
    <xf borderId="62" fillId="13" fontId="21" numFmtId="4" xfId="0" applyAlignment="1" applyBorder="1" applyFont="1" applyNumberFormat="1">
      <alignment horizontal="center" readingOrder="0" vertical="center"/>
    </xf>
    <xf borderId="63" fillId="66" fontId="21" numFmtId="4" xfId="0" applyAlignment="1" applyBorder="1" applyFont="1" applyNumberFormat="1">
      <alignment horizontal="center" readingOrder="0" vertical="center"/>
    </xf>
    <xf borderId="15" fillId="4" fontId="11" numFmtId="0" xfId="0" applyAlignment="1" applyBorder="1" applyFont="1">
      <alignment horizontal="center" shrinkToFit="0" textRotation="90" vertical="center" wrapText="1"/>
    </xf>
    <xf borderId="64" fillId="63" fontId="21" numFmtId="4" xfId="0" applyAlignment="1" applyBorder="1" applyFont="1" applyNumberFormat="1">
      <alignment horizontal="center" readingOrder="0" vertical="center"/>
    </xf>
    <xf borderId="64" fillId="2" fontId="21" numFmtId="4" xfId="0" applyAlignment="1" applyBorder="1" applyFont="1" applyNumberFormat="1">
      <alignment horizontal="center" readingOrder="0" vertical="center"/>
    </xf>
    <xf borderId="11" fillId="17" fontId="21" numFmtId="4" xfId="0" applyAlignment="1" applyBorder="1" applyFont="1" applyNumberFormat="1">
      <alignment horizontal="center" readingOrder="0" vertical="center"/>
    </xf>
    <xf borderId="64" fillId="72" fontId="21" numFmtId="4" xfId="0" applyAlignment="1" applyBorder="1" applyFont="1" applyNumberFormat="1">
      <alignment horizontal="center" readingOrder="0" vertical="center"/>
    </xf>
    <xf borderId="11" fillId="103" fontId="21" numFmtId="4" xfId="0" applyAlignment="1" applyBorder="1" applyFont="1" applyNumberFormat="1">
      <alignment horizontal="center" readingOrder="0" vertical="center"/>
    </xf>
    <xf borderId="11" fillId="126" fontId="21" numFmtId="4" xfId="0" applyAlignment="1" applyBorder="1" applyFill="1" applyFont="1" applyNumberFormat="1">
      <alignment horizontal="center" readingOrder="0" vertical="center"/>
    </xf>
    <xf borderId="64" fillId="93" fontId="21" numFmtId="4" xfId="0" applyAlignment="1" applyBorder="1" applyFont="1" applyNumberFormat="1">
      <alignment horizontal="center" readingOrder="0" vertical="center"/>
    </xf>
    <xf borderId="64" fillId="13" fontId="21" numFmtId="4" xfId="0" applyAlignment="1" applyBorder="1" applyFont="1" applyNumberFormat="1">
      <alignment horizontal="center" readingOrder="0" vertical="center"/>
    </xf>
    <xf borderId="16" fillId="18" fontId="21" numFmtId="4" xfId="0" applyAlignment="1" applyBorder="1" applyFont="1" applyNumberFormat="1">
      <alignment horizontal="center" readingOrder="0" vertical="center"/>
    </xf>
    <xf borderId="13" fillId="127" fontId="21" numFmtId="4" xfId="0" applyAlignment="1" applyBorder="1" applyFill="1" applyFont="1" applyNumberFormat="1">
      <alignment horizontal="center" readingOrder="0" vertical="center"/>
    </xf>
    <xf borderId="49" fillId="76" fontId="21" numFmtId="4" xfId="0" applyAlignment="1" applyBorder="1" applyFont="1" applyNumberFormat="1">
      <alignment horizontal="center" readingOrder="0" vertical="center"/>
    </xf>
    <xf borderId="13" fillId="51" fontId="21" numFmtId="4" xfId="0" applyAlignment="1" applyBorder="1" applyFont="1" applyNumberFormat="1">
      <alignment horizontal="center" readingOrder="0" vertical="center"/>
    </xf>
    <xf borderId="13" fillId="128" fontId="21" numFmtId="4" xfId="0" applyAlignment="1" applyBorder="1" applyFill="1" applyFont="1" applyNumberFormat="1">
      <alignment horizontal="center" readingOrder="0" vertical="center"/>
    </xf>
    <xf borderId="13" fillId="120" fontId="21" numFmtId="4" xfId="0" applyAlignment="1" applyBorder="1" applyFont="1" applyNumberFormat="1">
      <alignment horizontal="center" readingOrder="0" vertical="center"/>
    </xf>
    <xf borderId="46" fillId="63" fontId="21" numFmtId="4" xfId="0" applyAlignment="1" applyBorder="1" applyFont="1" applyNumberFormat="1">
      <alignment horizontal="center" readingOrder="0" vertical="center"/>
    </xf>
    <xf borderId="11" fillId="61" fontId="21" numFmtId="4" xfId="0" applyAlignment="1" applyBorder="1" applyFont="1" applyNumberFormat="1">
      <alignment horizontal="center" readingOrder="0" vertical="center"/>
    </xf>
    <xf borderId="12" fillId="84" fontId="21" numFmtId="4" xfId="0" applyAlignment="1" applyBorder="1" applyFont="1" applyNumberFormat="1">
      <alignment horizontal="center" readingOrder="0" vertical="center"/>
    </xf>
    <xf borderId="12" fillId="101" fontId="21" numFmtId="4" xfId="0" applyAlignment="1" applyBorder="1" applyFont="1" applyNumberFormat="1">
      <alignment horizontal="center" readingOrder="0" vertical="center"/>
    </xf>
    <xf borderId="12" fillId="118" fontId="21" numFmtId="4" xfId="0" applyAlignment="1" applyBorder="1" applyFont="1" applyNumberFormat="1">
      <alignment horizontal="center" readingOrder="0" vertical="center"/>
    </xf>
    <xf borderId="12" fillId="53" fontId="11" numFmtId="0" xfId="0" applyAlignment="1" applyBorder="1" applyFont="1">
      <alignment horizontal="center" shrinkToFit="0" textRotation="90" vertical="center" wrapText="1"/>
    </xf>
    <xf borderId="23" fillId="15" fontId="21" numFmtId="4" xfId="0" applyAlignment="1" applyBorder="1" applyFont="1" applyNumberFormat="1">
      <alignment horizontal="center" readingOrder="0" vertical="center"/>
    </xf>
    <xf borderId="65" fillId="2" fontId="21" numFmtId="4" xfId="0" applyAlignment="1" applyBorder="1" applyFont="1" applyNumberFormat="1">
      <alignment horizontal="center" readingOrder="0" vertical="center"/>
    </xf>
    <xf borderId="65" fillId="13" fontId="21" numFmtId="4" xfId="0" applyAlignment="1" applyBorder="1" applyFont="1" applyNumberFormat="1">
      <alignment horizontal="center" readingOrder="0" vertical="center"/>
    </xf>
    <xf borderId="61" fillId="97" fontId="21" numFmtId="4" xfId="0" applyAlignment="1" applyBorder="1" applyFont="1" applyNumberFormat="1">
      <alignment horizontal="center" readingOrder="0" vertical="center"/>
    </xf>
    <xf borderId="65" fillId="23" fontId="21" numFmtId="4" xfId="0" applyAlignment="1" applyBorder="1" applyFont="1" applyNumberFormat="1">
      <alignment horizontal="center" readingOrder="0" vertical="center"/>
    </xf>
    <xf borderId="65" fillId="51" fontId="21" numFmtId="4" xfId="0" applyAlignment="1" applyBorder="1" applyFont="1" applyNumberFormat="1">
      <alignment horizontal="center" readingOrder="0" vertical="center"/>
    </xf>
    <xf borderId="65" fillId="74" fontId="21" numFmtId="4" xfId="0" applyAlignment="1" applyBorder="1" applyFont="1" applyNumberFormat="1">
      <alignment horizontal="center" readingOrder="0" vertical="center"/>
    </xf>
    <xf borderId="23" fillId="129" fontId="21" numFmtId="4" xfId="0" applyAlignment="1" applyBorder="1" applyFill="1" applyFont="1" applyNumberFormat="1">
      <alignment horizontal="center" readingOrder="0" vertical="center"/>
    </xf>
    <xf borderId="23" fillId="62" fontId="21" numFmtId="4" xfId="0" applyAlignment="1" applyBorder="1" applyFont="1" applyNumberFormat="1">
      <alignment horizontal="center" readingOrder="0" vertical="center"/>
    </xf>
    <xf borderId="50" fillId="36" fontId="21" numFmtId="4" xfId="0" applyAlignment="1" applyBorder="1" applyFont="1" applyNumberFormat="1">
      <alignment horizontal="center" readingOrder="0" vertical="center"/>
    </xf>
    <xf borderId="50" fillId="2" fontId="21" numFmtId="4" xfId="0" applyAlignment="1" applyBorder="1" applyFont="1" applyNumberFormat="1">
      <alignment horizontal="center" readingOrder="0" vertical="center"/>
    </xf>
    <xf borderId="50" fillId="72" fontId="21" numFmtId="4" xfId="0" applyAlignment="1" applyBorder="1" applyFont="1" applyNumberFormat="1">
      <alignment horizontal="center" readingOrder="0" vertical="center"/>
    </xf>
    <xf borderId="50" fillId="77" fontId="21" numFmtId="4" xfId="0" applyAlignment="1" applyBorder="1" applyFont="1" applyNumberFormat="1">
      <alignment horizontal="center" readingOrder="0" vertical="center"/>
    </xf>
    <xf borderId="50" fillId="51" fontId="21" numFmtId="4" xfId="0" applyAlignment="1" applyBorder="1" applyFont="1" applyNumberFormat="1">
      <alignment horizontal="center" readingOrder="0" vertical="center"/>
    </xf>
    <xf borderId="50" fillId="33" fontId="21" numFmtId="4" xfId="0" applyAlignment="1" applyBorder="1" applyFont="1" applyNumberFormat="1">
      <alignment horizontal="center" readingOrder="0" vertical="center"/>
    </xf>
    <xf borderId="50" fillId="130" fontId="21" numFmtId="4" xfId="0" applyAlignment="1" applyBorder="1" applyFill="1" applyFont="1" applyNumberFormat="1">
      <alignment horizontal="center" readingOrder="0" vertical="center"/>
    </xf>
    <xf borderId="50" fillId="74" fontId="21" numFmtId="4" xfId="0" applyAlignment="1" applyBorder="1" applyFont="1" applyNumberFormat="1">
      <alignment horizontal="center" readingOrder="0" vertical="center"/>
    </xf>
    <xf borderId="13" fillId="129" fontId="21" numFmtId="4" xfId="0" applyAlignment="1" applyBorder="1" applyFont="1" applyNumberFormat="1">
      <alignment horizontal="center" readingOrder="0" vertical="center"/>
    </xf>
    <xf borderId="13" fillId="131" fontId="21" numFmtId="4" xfId="0" applyAlignment="1" applyBorder="1" applyFill="1" applyFont="1" applyNumberFormat="1">
      <alignment horizontal="center" readingOrder="0" vertical="center"/>
    </xf>
    <xf borderId="13" fillId="132" fontId="21" numFmtId="4" xfId="0" applyAlignment="1" applyBorder="1" applyFill="1" applyFont="1" applyNumberFormat="1">
      <alignment horizontal="center" readingOrder="0" vertical="center"/>
    </xf>
    <xf borderId="55" fillId="2" fontId="21" numFmtId="4" xfId="0" applyAlignment="1" applyBorder="1" applyFont="1" applyNumberFormat="1">
      <alignment horizontal="center" readingOrder="0" vertical="center"/>
    </xf>
    <xf borderId="55" fillId="36" fontId="21" numFmtId="4" xfId="0" applyAlignment="1" applyBorder="1" applyFont="1" applyNumberFormat="1">
      <alignment horizontal="center" readingOrder="0" vertical="center"/>
    </xf>
    <xf borderId="55" fillId="13" fontId="21" numFmtId="4" xfId="0" applyAlignment="1" applyBorder="1" applyFont="1" applyNumberFormat="1">
      <alignment horizontal="center" readingOrder="0" vertical="center"/>
    </xf>
    <xf borderId="56" fillId="73" fontId="21" numFmtId="4" xfId="0" applyAlignment="1" applyBorder="1" applyFont="1" applyNumberFormat="1">
      <alignment horizontal="center" readingOrder="0" vertical="center"/>
    </xf>
    <xf borderId="55" fillId="9" fontId="21" numFmtId="4" xfId="0" applyAlignment="1" applyBorder="1" applyFont="1" applyNumberFormat="1">
      <alignment horizontal="center" readingOrder="0" vertical="center"/>
    </xf>
    <xf borderId="56" fillId="31" fontId="21" numFmtId="4" xfId="0" applyAlignment="1" applyBorder="1" applyFont="1" applyNumberFormat="1">
      <alignment horizontal="center" readingOrder="0" vertical="center"/>
    </xf>
    <xf borderId="18" fillId="9" fontId="21" numFmtId="4" xfId="0" applyAlignment="1" applyBorder="1" applyFont="1" applyNumberFormat="1">
      <alignment horizontal="center" readingOrder="0" vertical="center"/>
    </xf>
    <xf borderId="12" fillId="64" fontId="11" numFmtId="0" xfId="0" applyAlignment="1" applyBorder="1" applyFont="1">
      <alignment horizontal="center" shrinkToFit="0" textRotation="90" vertical="center" wrapText="1"/>
    </xf>
    <xf borderId="66" fillId="15" fontId="21" numFmtId="4" xfId="0" applyAlignment="1" applyBorder="1" applyFont="1" applyNumberFormat="1">
      <alignment horizontal="center" readingOrder="0" vertical="center"/>
    </xf>
    <xf borderId="66" fillId="66" fontId="21" numFmtId="4" xfId="0" applyAlignment="1" applyBorder="1" applyFont="1" applyNumberFormat="1">
      <alignment horizontal="center" readingOrder="0" vertical="center"/>
    </xf>
    <xf borderId="66" fillId="55" fontId="21" numFmtId="4" xfId="0" applyAlignment="1" applyBorder="1" applyFont="1" applyNumberFormat="1">
      <alignment horizontal="center" readingOrder="0" vertical="center"/>
    </xf>
    <xf borderId="66" fillId="2" fontId="21" numFmtId="4" xfId="0" applyAlignment="1" applyBorder="1" applyFont="1" applyNumberFormat="1">
      <alignment horizontal="center" readingOrder="0" vertical="center"/>
    </xf>
    <xf borderId="66" fillId="25" fontId="21" numFmtId="4" xfId="0" applyAlignment="1" applyBorder="1" applyFont="1" applyNumberFormat="1">
      <alignment horizontal="center" readingOrder="0" vertical="center"/>
    </xf>
    <xf borderId="66" fillId="84" fontId="21" numFmtId="4" xfId="0" applyAlignment="1" applyBorder="1" applyFont="1" applyNumberFormat="1">
      <alignment horizontal="center" readingOrder="0" vertical="center"/>
    </xf>
    <xf borderId="66" fillId="18" fontId="21" numFmtId="4" xfId="0" applyAlignment="1" applyBorder="1" applyFont="1" applyNumberFormat="1">
      <alignment horizontal="center" readingOrder="0" vertical="center"/>
    </xf>
    <xf borderId="66" fillId="133" fontId="21" numFmtId="4" xfId="0" applyAlignment="1" applyBorder="1" applyFill="1" applyFont="1" applyNumberFormat="1">
      <alignment horizontal="center" readingOrder="0" vertical="center"/>
    </xf>
    <xf borderId="66" fillId="13" fontId="21" numFmtId="4" xfId="0" applyAlignment="1" applyBorder="1" applyFont="1" applyNumberFormat="1">
      <alignment horizontal="center" readingOrder="0" vertical="center"/>
    </xf>
    <xf borderId="66" fillId="99" fontId="21" numFmtId="4" xfId="0" applyAlignment="1" applyBorder="1" applyFont="1" applyNumberFormat="1">
      <alignment horizontal="center" readingOrder="0" vertical="center"/>
    </xf>
    <xf borderId="16" fillId="26" fontId="21" numFmtId="4" xfId="0" applyAlignment="1" applyBorder="1" applyFont="1" applyNumberFormat="1">
      <alignment horizontal="center" readingOrder="0" vertical="center"/>
    </xf>
    <xf borderId="16" fillId="134" fontId="21" numFmtId="4" xfId="0" applyAlignment="1" applyBorder="1" applyFill="1" applyFont="1" applyNumberFormat="1">
      <alignment horizontal="center" readingOrder="0" vertical="center"/>
    </xf>
    <xf borderId="16" fillId="96" fontId="21" numFmtId="4" xfId="0" applyAlignment="1" applyBorder="1" applyFont="1" applyNumberFormat="1">
      <alignment horizontal="center" readingOrder="0" vertical="center"/>
    </xf>
    <xf borderId="46" fillId="101" fontId="21" numFmtId="4" xfId="0" applyAlignment="1" applyBorder="1" applyFont="1" applyNumberFormat="1">
      <alignment horizontal="center" readingOrder="0" vertical="center"/>
    </xf>
    <xf borderId="11" fillId="135" fontId="21" numFmtId="4" xfId="0" applyAlignment="1" applyBorder="1" applyFill="1" applyFont="1" applyNumberFormat="1">
      <alignment horizontal="center" readingOrder="0" vertical="center"/>
    </xf>
    <xf borderId="46" fillId="39" fontId="21" numFmtId="4" xfId="0" applyAlignment="1" applyBorder="1" applyFont="1" applyNumberFormat="1">
      <alignment horizontal="center" readingOrder="0" vertical="center"/>
    </xf>
    <xf borderId="46" fillId="11" fontId="21" numFmtId="4" xfId="0" applyAlignment="1" applyBorder="1" applyFont="1" applyNumberFormat="1">
      <alignment horizontal="center" readingOrder="0" vertical="center"/>
    </xf>
    <xf borderId="11" fillId="136" fontId="21" numFmtId="4" xfId="0" applyAlignment="1" applyBorder="1" applyFill="1" applyFont="1" applyNumberFormat="1">
      <alignment horizontal="center" readingOrder="0" vertical="center"/>
    </xf>
    <xf borderId="46" fillId="29" fontId="21" numFmtId="4" xfId="0" applyAlignment="1" applyBorder="1" applyFont="1" applyNumberFormat="1">
      <alignment horizontal="center" readingOrder="0" vertical="center"/>
    </xf>
    <xf borderId="13" fillId="137" fontId="21" numFmtId="4" xfId="0" applyAlignment="1" applyBorder="1" applyFill="1" applyFont="1" applyNumberFormat="1">
      <alignment horizontal="center" readingOrder="0" vertical="center"/>
    </xf>
    <xf borderId="0" fillId="3" fontId="30" numFmtId="4" xfId="0" applyAlignment="1" applyFont="1" applyNumberFormat="1">
      <alignment horizontal="center" shrinkToFit="0" vertical="center" wrapText="0"/>
    </xf>
    <xf borderId="13" fillId="134" fontId="21" numFmtId="4" xfId="0" applyAlignment="1" applyBorder="1" applyFont="1" applyNumberFormat="1">
      <alignment horizontal="center" readingOrder="0" vertical="center"/>
    </xf>
    <xf borderId="13" fillId="46" fontId="21" numFmtId="4" xfId="0" applyAlignment="1" applyBorder="1" applyFont="1" applyNumberFormat="1">
      <alignment horizontal="center" readingOrder="0" vertical="center"/>
    </xf>
    <xf borderId="45" fillId="2" fontId="21" numFmtId="4" xfId="0" applyAlignment="1" applyBorder="1" applyFont="1" applyNumberFormat="1">
      <alignment horizontal="center" readingOrder="0" vertical="center"/>
    </xf>
    <xf borderId="42" fillId="31" fontId="21" numFmtId="4" xfId="0" applyAlignment="1" applyBorder="1" applyFont="1" applyNumberFormat="1">
      <alignment horizontal="center" readingOrder="0" vertical="center"/>
    </xf>
    <xf borderId="45" fillId="111" fontId="21" numFmtId="4" xfId="0" applyAlignment="1" applyBorder="1" applyFont="1" applyNumberFormat="1">
      <alignment horizontal="center" readingOrder="0" vertical="center"/>
    </xf>
    <xf borderId="42" fillId="95" fontId="21" numFmtId="4" xfId="0" applyAlignment="1" applyBorder="1" applyFont="1" applyNumberFormat="1">
      <alignment horizontal="center" readingOrder="0" vertical="center"/>
    </xf>
    <xf borderId="42" fillId="2" fontId="21" numFmtId="4" xfId="0" applyAlignment="1" applyBorder="1" applyFont="1" applyNumberFormat="1">
      <alignment horizontal="center" readingOrder="0" vertical="center"/>
    </xf>
    <xf borderId="45" fillId="92" fontId="21" numFmtId="4" xfId="0" applyAlignment="1" applyBorder="1" applyFont="1" applyNumberFormat="1">
      <alignment horizontal="center" readingOrder="0" vertical="center"/>
    </xf>
    <xf borderId="13" fillId="138" fontId="21" numFmtId="4" xfId="0" applyAlignment="1" applyBorder="1" applyFill="1" applyFont="1" applyNumberFormat="1">
      <alignment horizontal="center" readingOrder="0" vertical="center"/>
    </xf>
    <xf borderId="45" fillId="47" fontId="21" numFmtId="4" xfId="0" applyAlignment="1" applyBorder="1" applyFont="1" applyNumberFormat="1">
      <alignment horizontal="center" readingOrder="0" vertical="center"/>
    </xf>
    <xf borderId="42" fillId="75" fontId="21" numFmtId="4" xfId="0" applyAlignment="1" applyBorder="1" applyFont="1" applyNumberFormat="1">
      <alignment horizontal="center" readingOrder="0" vertical="center"/>
    </xf>
    <xf borderId="45" fillId="96" fontId="21" numFmtId="4" xfId="0" applyAlignment="1" applyBorder="1" applyFont="1" applyNumberFormat="1">
      <alignment horizontal="center" readingOrder="0" vertical="center"/>
    </xf>
    <xf borderId="45" fillId="46" fontId="21" numFmtId="4" xfId="0" applyAlignment="1" applyBorder="1" applyFont="1" applyNumberFormat="1">
      <alignment horizontal="center" readingOrder="0" vertical="center"/>
    </xf>
    <xf borderId="42" fillId="97" fontId="21" numFmtId="4" xfId="0" applyAlignment="1" applyBorder="1" applyFont="1" applyNumberFormat="1">
      <alignment horizontal="center" readingOrder="0" vertical="center"/>
    </xf>
    <xf borderId="45" fillId="11" fontId="21" numFmtId="4" xfId="0" applyAlignment="1" applyBorder="1" applyFont="1" applyNumberFormat="1">
      <alignment horizontal="center" readingOrder="0" vertical="center"/>
    </xf>
    <xf borderId="45" fillId="13" fontId="21" numFmtId="4" xfId="0" applyAlignment="1" applyBorder="1" applyFont="1" applyNumberFormat="1">
      <alignment horizontal="center" readingOrder="0" vertical="center"/>
    </xf>
    <xf borderId="42" fillId="73" fontId="21" numFmtId="4" xfId="0" applyAlignment="1" applyBorder="1" applyFont="1" applyNumberFormat="1">
      <alignment horizontal="center" readingOrder="0" vertical="center"/>
    </xf>
    <xf borderId="42" fillId="119" fontId="21" numFmtId="4" xfId="0" applyAlignment="1" applyBorder="1" applyFont="1" applyNumberFormat="1">
      <alignment horizontal="center" readingOrder="0" vertical="center"/>
    </xf>
    <xf borderId="45" fillId="62" fontId="21" numFmtId="4" xfId="0" applyAlignment="1" applyBorder="1" applyFont="1" applyNumberFormat="1">
      <alignment horizontal="center" readingOrder="0" vertical="center"/>
    </xf>
    <xf borderId="45" fillId="0" fontId="1" numFmtId="0" xfId="0" applyBorder="1" applyFont="1"/>
    <xf borderId="42" fillId="91" fontId="21" numFmtId="4" xfId="0" applyAlignment="1" applyBorder="1" applyFont="1" applyNumberFormat="1">
      <alignment horizontal="center" readingOrder="0" vertical="center"/>
    </xf>
    <xf borderId="45" fillId="63" fontId="21" numFmtId="4" xfId="0" applyAlignment="1" applyBorder="1" applyFont="1" applyNumberFormat="1">
      <alignment horizontal="center" readingOrder="0" vertical="center"/>
    </xf>
    <xf borderId="45" fillId="9" fontId="21" numFmtId="4" xfId="0" applyAlignment="1" applyBorder="1" applyFont="1" applyNumberFormat="1">
      <alignment horizontal="center" readingOrder="0" vertical="center"/>
    </xf>
    <xf borderId="42" fillId="139" fontId="21" numFmtId="4" xfId="0" applyAlignment="1" applyBorder="1" applyFill="1" applyFont="1" applyNumberFormat="1">
      <alignment horizontal="center" readingOrder="0" vertical="center"/>
    </xf>
    <xf borderId="45" fillId="25" fontId="21" numFmtId="4" xfId="0" applyAlignment="1" applyBorder="1" applyFont="1" applyNumberFormat="1">
      <alignment horizontal="center" readingOrder="0" vertical="center"/>
    </xf>
    <xf borderId="42" fillId="131" fontId="21" numFmtId="4" xfId="0" applyAlignment="1" applyBorder="1" applyFont="1" applyNumberFormat="1">
      <alignment horizontal="center" readingOrder="0" vertical="center"/>
    </xf>
    <xf borderId="42" fillId="66" fontId="21" numFmtId="4" xfId="0" applyAlignment="1" applyBorder="1" applyFont="1" applyNumberFormat="1">
      <alignment horizontal="center" readingOrder="0" vertical="center"/>
    </xf>
    <xf borderId="12" fillId="4" fontId="19" numFmtId="4" xfId="0" applyAlignment="1" applyBorder="1" applyFont="1" applyNumberFormat="1">
      <alignment horizontal="center" readingOrder="0" shrinkToFit="0" vertical="center" wrapText="1"/>
    </xf>
    <xf borderId="12" fillId="140" fontId="21" numFmtId="2" xfId="0" applyAlignment="1" applyBorder="1" applyFill="1" applyFont="1" applyNumberFormat="1">
      <alignment horizontal="center" readingOrder="0" vertical="center"/>
    </xf>
    <xf borderId="0" fillId="3" fontId="18" numFmtId="2" xfId="0" applyFont="1" applyNumberFormat="1"/>
    <xf borderId="12" fillId="10" fontId="21" numFmtId="2" xfId="0" applyAlignment="1" applyBorder="1" applyFont="1" applyNumberFormat="1">
      <alignment horizontal="center" readingOrder="0" vertical="center"/>
    </xf>
    <xf borderId="12" fillId="141" fontId="21" numFmtId="2" xfId="0" applyAlignment="1" applyBorder="1" applyFill="1" applyFont="1" applyNumberFormat="1">
      <alignment horizontal="center" readingOrder="0" vertical="center"/>
    </xf>
    <xf borderId="0" fillId="3" fontId="21" numFmtId="2" xfId="0" applyAlignment="1" applyFont="1" applyNumberFormat="1">
      <alignment horizontal="center" readingOrder="0" vertical="center"/>
    </xf>
    <xf borderId="12" fillId="142" fontId="21" numFmtId="2" xfId="0" applyAlignment="1" applyBorder="1" applyFill="1" applyFont="1" applyNumberFormat="1">
      <alignment horizontal="center" readingOrder="0" vertical="center"/>
    </xf>
    <xf borderId="7" fillId="3" fontId="18" numFmtId="4" xfId="0" applyBorder="1" applyFont="1" applyNumberFormat="1"/>
    <xf borderId="7" fillId="3" fontId="18" numFmtId="0" xfId="0" applyBorder="1" applyFont="1"/>
    <xf borderId="5" fillId="3" fontId="18" numFmtId="0" xfId="0" applyAlignment="1" applyBorder="1" applyFont="1">
      <alignment horizontal="center"/>
    </xf>
    <xf borderId="5" fillId="3" fontId="18" numFmtId="0" xfId="0" applyAlignment="1" applyBorder="1" applyFont="1">
      <alignment horizontal="center"/>
    </xf>
    <xf borderId="0" fillId="3" fontId="9" numFmtId="0" xfId="0" applyAlignment="1" applyFont="1">
      <alignment horizontal="center" readingOrder="0" shrinkToFit="0" textRotation="0" vertical="center" wrapText="1"/>
    </xf>
    <xf borderId="13" fillId="64" fontId="24" numFmtId="0" xfId="0" applyAlignment="1" applyBorder="1" applyFont="1">
      <alignment horizontal="center" vertical="center"/>
    </xf>
    <xf borderId="0" fillId="3" fontId="9" numFmtId="0" xfId="0" applyAlignment="1" applyFont="1">
      <alignment horizontal="center" readingOrder="0" shrinkToFit="0" vertical="center" wrapText="0"/>
    </xf>
    <xf borderId="0" fillId="3" fontId="9" numFmtId="4" xfId="0" applyAlignment="1" applyFont="1" applyNumberFormat="1">
      <alignment horizontal="center" shrinkToFit="0" vertical="center" wrapText="0"/>
    </xf>
    <xf borderId="0" fillId="3" fontId="9" numFmtId="0" xfId="0" applyAlignment="1" applyFont="1">
      <alignment horizontal="center" shrinkToFit="0" vertical="center" wrapText="0"/>
    </xf>
    <xf borderId="0" fillId="3" fontId="9" numFmtId="4" xfId="0" applyAlignment="1" applyFont="1" applyNumberFormat="1">
      <alignment horizontal="left" readingOrder="0" shrinkToFit="0" vertical="center" wrapText="1"/>
    </xf>
    <xf borderId="67" fillId="2" fontId="17" numFmtId="0" xfId="0" applyAlignment="1" applyBorder="1" applyFont="1">
      <alignment horizontal="center" readingOrder="0" shrinkToFit="0" vertical="center" wrapText="1"/>
    </xf>
    <xf borderId="68" fillId="0" fontId="1" numFmtId="0" xfId="0" applyBorder="1" applyFont="1"/>
    <xf borderId="69" fillId="0" fontId="1" numFmtId="0" xfId="0" applyBorder="1" applyFont="1"/>
    <xf borderId="0" fillId="3" fontId="18" numFmtId="0" xfId="0" applyAlignment="1" applyFont="1">
      <alignment vertical="center"/>
    </xf>
    <xf borderId="70" fillId="4" fontId="27" numFmtId="2" xfId="0" applyAlignment="1" applyBorder="1" applyFont="1" applyNumberFormat="1">
      <alignment horizontal="center" shrinkToFit="0" vertical="center" wrapText="1"/>
    </xf>
    <xf borderId="70" fillId="4" fontId="27" numFmtId="4" xfId="0" applyAlignment="1" applyBorder="1" applyFont="1" applyNumberFormat="1">
      <alignment horizontal="center" shrinkToFit="0" vertical="center" wrapText="1"/>
    </xf>
    <xf borderId="70" fillId="4" fontId="27" numFmtId="0" xfId="0" applyAlignment="1" applyBorder="1" applyFont="1">
      <alignment horizontal="center" shrinkToFit="0" vertical="center" wrapText="1"/>
    </xf>
    <xf borderId="0" fillId="3" fontId="18" numFmtId="2" xfId="0" applyAlignment="1" applyFont="1" applyNumberFormat="1">
      <alignment vertical="center"/>
    </xf>
    <xf borderId="16" fillId="56" fontId="21" numFmtId="4" xfId="0" applyAlignment="1" applyBorder="1" applyFont="1" applyNumberFormat="1">
      <alignment horizontal="center" readingOrder="0" vertical="center"/>
    </xf>
    <xf borderId="16" fillId="10" fontId="21" numFmtId="4" xfId="0" applyAlignment="1" applyBorder="1" applyFont="1" applyNumberFormat="1">
      <alignment horizontal="center" readingOrder="0" vertical="center"/>
    </xf>
    <xf borderId="16" fillId="85" fontId="21" numFmtId="4" xfId="0" applyAlignment="1" applyBorder="1" applyFont="1" applyNumberFormat="1">
      <alignment horizontal="center" readingOrder="0" vertical="center"/>
    </xf>
    <xf borderId="16" fillId="143" fontId="21" numFmtId="4" xfId="0" applyAlignment="1" applyBorder="1" applyFill="1" applyFont="1" applyNumberFormat="1">
      <alignment horizontal="center" readingOrder="0" vertical="center"/>
    </xf>
    <xf borderId="16" fillId="144" fontId="21" numFmtId="4" xfId="0" applyAlignment="1" applyBorder="1" applyFill="1" applyFont="1" applyNumberFormat="1">
      <alignment horizontal="center" readingOrder="0" vertical="center"/>
    </xf>
    <xf borderId="16" fillId="62" fontId="21" numFmtId="4" xfId="0" applyAlignment="1" applyBorder="1" applyFont="1" applyNumberFormat="1">
      <alignment horizontal="center" readingOrder="0" vertical="center"/>
    </xf>
    <xf borderId="16" fillId="145" fontId="21" numFmtId="4" xfId="0" applyAlignment="1" applyBorder="1" applyFill="1" applyFont="1" applyNumberFormat="1">
      <alignment horizontal="center" readingOrder="0" vertical="center"/>
    </xf>
    <xf borderId="16" fillId="69" fontId="21" numFmtId="4" xfId="0" applyAlignment="1" applyBorder="1" applyFont="1" applyNumberFormat="1">
      <alignment horizontal="center" readingOrder="0" vertical="center"/>
    </xf>
    <xf borderId="16" fillId="117" fontId="21" numFmtId="4" xfId="0" applyAlignment="1" applyBorder="1" applyFont="1" applyNumberFormat="1">
      <alignment horizontal="center" readingOrder="0" vertical="center"/>
    </xf>
    <xf borderId="16" fillId="118" fontId="21" numFmtId="4" xfId="0" applyAlignment="1" applyBorder="1" applyFont="1" applyNumberFormat="1">
      <alignment horizontal="center" readingOrder="0" vertical="center"/>
    </xf>
    <xf borderId="30" fillId="3" fontId="18" numFmtId="4" xfId="0" applyAlignment="1" applyBorder="1" applyFont="1" applyNumberFormat="1">
      <alignment vertical="bottom"/>
    </xf>
    <xf borderId="13" fillId="146" fontId="21" numFmtId="4" xfId="0" applyAlignment="1" applyBorder="1" applyFill="1" applyFont="1" applyNumberFormat="1">
      <alignment horizontal="center" readingOrder="0" vertical="center"/>
    </xf>
    <xf borderId="13" fillId="115" fontId="21" numFmtId="4" xfId="0" applyAlignment="1" applyBorder="1" applyFont="1" applyNumberFormat="1">
      <alignment horizontal="center" readingOrder="0" vertical="center"/>
    </xf>
    <xf borderId="13" fillId="147" fontId="21" numFmtId="4" xfId="0" applyAlignment="1" applyBorder="1" applyFill="1" applyFont="1" applyNumberFormat="1">
      <alignment horizontal="center" readingOrder="0" vertical="center"/>
    </xf>
    <xf borderId="13" fillId="148" fontId="21" numFmtId="4" xfId="0" applyAlignment="1" applyBorder="1" applyFill="1" applyFont="1" applyNumberFormat="1">
      <alignment horizontal="center" readingOrder="0" vertical="center"/>
    </xf>
    <xf borderId="0" fillId="3" fontId="18" numFmtId="4" xfId="0" applyAlignment="1" applyFont="1" applyNumberFormat="1">
      <alignment vertical="bottom"/>
    </xf>
    <xf borderId="12" fillId="16" fontId="21" numFmtId="4" xfId="0" applyAlignment="1" applyBorder="1" applyFont="1" applyNumberFormat="1">
      <alignment horizontal="center" readingOrder="0" vertical="center"/>
    </xf>
    <xf borderId="12" fillId="12" fontId="21" numFmtId="4" xfId="0" applyAlignment="1" applyBorder="1" applyFont="1" applyNumberFormat="1">
      <alignment horizontal="center" readingOrder="0" vertical="center"/>
    </xf>
    <xf borderId="12" fillId="129" fontId="21" numFmtId="4" xfId="0" applyAlignment="1" applyBorder="1" applyFont="1" applyNumberFormat="1">
      <alignment horizontal="center" readingOrder="0" vertical="center"/>
    </xf>
    <xf borderId="12" fillId="123" fontId="21" numFmtId="4" xfId="0" applyAlignment="1" applyBorder="1" applyFont="1" applyNumberFormat="1">
      <alignment horizontal="center" readingOrder="0" vertical="center"/>
    </xf>
    <xf borderId="12" fillId="149" fontId="21" numFmtId="4" xfId="0" applyAlignment="1" applyBorder="1" applyFill="1" applyFont="1" applyNumberFormat="1">
      <alignment horizontal="center" readingOrder="0" vertical="center"/>
    </xf>
    <xf borderId="12" fillId="15" fontId="21" numFmtId="4" xfId="0" applyAlignment="1" applyBorder="1" applyFont="1" applyNumberFormat="1">
      <alignment horizontal="center" readingOrder="0" vertical="center"/>
    </xf>
    <xf borderId="12" fillId="66" fontId="21" numFmtId="4" xfId="0" applyAlignment="1" applyBorder="1" applyFont="1" applyNumberFormat="1">
      <alignment horizontal="center" readingOrder="0" vertical="center"/>
    </xf>
    <xf borderId="12" fillId="100" fontId="21" numFmtId="4" xfId="0" applyAlignment="1" applyBorder="1" applyFont="1" applyNumberFormat="1">
      <alignment horizontal="center" readingOrder="0" vertical="center"/>
    </xf>
    <xf borderId="12" fillId="150" fontId="21" numFmtId="4" xfId="0" applyAlignment="1" applyBorder="1" applyFill="1" applyFont="1" applyNumberFormat="1">
      <alignment horizontal="center" readingOrder="0" vertical="center"/>
    </xf>
    <xf borderId="12" fillId="125" fontId="21" numFmtId="4" xfId="0" applyAlignment="1" applyBorder="1" applyFont="1" applyNumberFormat="1">
      <alignment horizontal="center" readingOrder="0" vertical="center"/>
    </xf>
    <xf borderId="23" fillId="123" fontId="21" numFmtId="4" xfId="0" applyAlignment="1" applyBorder="1" applyFont="1" applyNumberFormat="1">
      <alignment horizontal="center" readingOrder="0" vertical="center"/>
    </xf>
    <xf borderId="23" fillId="39" fontId="21" numFmtId="4" xfId="0" applyAlignment="1" applyBorder="1" applyFont="1" applyNumberFormat="1">
      <alignment horizontal="center" readingOrder="0" vertical="center"/>
    </xf>
    <xf borderId="23" fillId="151" fontId="21" numFmtId="4" xfId="0" applyAlignment="1" applyBorder="1" applyFill="1" applyFont="1" applyNumberFormat="1">
      <alignment horizontal="center" readingOrder="0" vertical="center"/>
    </xf>
    <xf borderId="23" fillId="152" fontId="21" numFmtId="4" xfId="0" applyAlignment="1" applyBorder="1" applyFill="1" applyFont="1" applyNumberFormat="1">
      <alignment horizontal="center" readingOrder="0" vertical="center"/>
    </xf>
    <xf borderId="23" fillId="92" fontId="21" numFmtId="4" xfId="0" applyAlignment="1" applyBorder="1" applyFont="1" applyNumberFormat="1">
      <alignment horizontal="center" readingOrder="0" vertical="center"/>
    </xf>
    <xf borderId="23" fillId="27" fontId="21" numFmtId="4" xfId="0" applyAlignment="1" applyBorder="1" applyFont="1" applyNumberFormat="1">
      <alignment horizontal="center" readingOrder="0" vertical="center"/>
    </xf>
    <xf borderId="13" fillId="121" fontId="21" numFmtId="4" xfId="0" applyAlignment="1" applyBorder="1" applyFont="1" applyNumberFormat="1">
      <alignment horizontal="center" readingOrder="0" vertical="center"/>
    </xf>
    <xf borderId="13" fillId="153" fontId="21" numFmtId="4" xfId="0" applyAlignment="1" applyBorder="1" applyFill="1" applyFont="1" applyNumberFormat="1">
      <alignment horizontal="center" readingOrder="0" vertical="center"/>
    </xf>
    <xf borderId="13" fillId="154" fontId="21" numFmtId="4" xfId="0" applyAlignment="1" applyBorder="1" applyFill="1" applyFont="1" applyNumberFormat="1">
      <alignment horizontal="center" readingOrder="0" vertical="center"/>
    </xf>
    <xf borderId="13" fillId="125" fontId="21" numFmtId="4" xfId="0" applyAlignment="1" applyBorder="1" applyFont="1" applyNumberFormat="1">
      <alignment horizontal="center" readingOrder="0" vertical="center"/>
    </xf>
    <xf borderId="18" fillId="111" fontId="21" numFmtId="4" xfId="0" applyAlignment="1" applyBorder="1" applyFont="1" applyNumberFormat="1">
      <alignment horizontal="center" readingOrder="0" vertical="center"/>
    </xf>
    <xf borderId="18" fillId="125" fontId="21" numFmtId="4" xfId="0" applyAlignment="1" applyBorder="1" applyFont="1" applyNumberFormat="1">
      <alignment horizontal="center" readingOrder="0" vertical="center"/>
    </xf>
    <xf borderId="18" fillId="63" fontId="21" numFmtId="4" xfId="0" applyAlignment="1" applyBorder="1" applyFont="1" applyNumberFormat="1">
      <alignment horizontal="center" readingOrder="0" vertical="center"/>
    </xf>
    <xf borderId="18" fillId="33" fontId="21" numFmtId="4" xfId="0" applyAlignment="1" applyBorder="1" applyFont="1" applyNumberFormat="1">
      <alignment horizontal="center" readingOrder="0" vertical="center"/>
    </xf>
    <xf borderId="18" fillId="110" fontId="21" numFmtId="4" xfId="0" applyAlignment="1" applyBorder="1" applyFont="1" applyNumberFormat="1">
      <alignment horizontal="center" readingOrder="0" vertical="center"/>
    </xf>
    <xf borderId="18" fillId="92" fontId="21" numFmtId="4" xfId="0" applyAlignment="1" applyBorder="1" applyFont="1" applyNumberFormat="1">
      <alignment horizontal="center" readingOrder="0" vertical="center"/>
    </xf>
    <xf borderId="18" fillId="31" fontId="21" numFmtId="4" xfId="0" applyAlignment="1" applyBorder="1" applyFont="1" applyNumberFormat="1">
      <alignment horizontal="center" readingOrder="0" vertical="center"/>
    </xf>
    <xf borderId="16" fillId="137" fontId="21" numFmtId="4" xfId="0" applyAlignment="1" applyBorder="1" applyFont="1" applyNumberFormat="1">
      <alignment horizontal="center" readingOrder="0" vertical="center"/>
    </xf>
    <xf borderId="16" fillId="16" fontId="21" numFmtId="4" xfId="0" applyAlignment="1" applyBorder="1" applyFont="1" applyNumberFormat="1">
      <alignment horizontal="center" readingOrder="0" vertical="center"/>
    </xf>
    <xf borderId="16" fillId="155" fontId="21" numFmtId="4" xfId="0" applyAlignment="1" applyBorder="1" applyFill="1" applyFont="1" applyNumberFormat="1">
      <alignment horizontal="center" readingOrder="0" vertical="center"/>
    </xf>
    <xf borderId="16" fillId="80" fontId="21" numFmtId="4" xfId="0" applyAlignment="1" applyBorder="1" applyFont="1" applyNumberFormat="1">
      <alignment horizontal="center" readingOrder="0" vertical="center"/>
    </xf>
    <xf borderId="16" fillId="101" fontId="21" numFmtId="4" xfId="0" applyAlignment="1" applyBorder="1" applyFont="1" applyNumberFormat="1">
      <alignment horizontal="center" readingOrder="0" vertical="center"/>
    </xf>
    <xf borderId="16" fillId="156" fontId="21" numFmtId="4" xfId="0" applyAlignment="1" applyBorder="1" applyFill="1" applyFont="1" applyNumberFormat="1">
      <alignment horizontal="center" readingOrder="0" vertical="center"/>
    </xf>
    <xf borderId="16" fillId="42" fontId="21" numFmtId="4" xfId="0" applyAlignment="1" applyBorder="1" applyFont="1" applyNumberFormat="1">
      <alignment horizontal="center" readingOrder="0" vertical="center"/>
    </xf>
    <xf borderId="13" fillId="157" fontId="21" numFmtId="4" xfId="0" applyAlignment="1" applyBorder="1" applyFill="1" applyFont="1" applyNumberFormat="1">
      <alignment horizontal="center" readingOrder="0" vertical="center"/>
    </xf>
    <xf borderId="13" fillId="158" fontId="21" numFmtId="4" xfId="0" applyAlignment="1" applyBorder="1" applyFill="1" applyFont="1" applyNumberFormat="1">
      <alignment horizontal="center" readingOrder="0" vertical="center"/>
    </xf>
    <xf borderId="13" fillId="159" fontId="21" numFmtId="4" xfId="0" applyAlignment="1" applyBorder="1" applyFill="1" applyFont="1" applyNumberFormat="1">
      <alignment horizontal="center" readingOrder="0" vertical="center"/>
    </xf>
    <xf borderId="13" fillId="160" fontId="21" numFmtId="4" xfId="0" applyAlignment="1" applyBorder="1" applyFill="1" applyFont="1" applyNumberFormat="1">
      <alignment horizontal="center" readingOrder="0" vertical="center"/>
    </xf>
    <xf borderId="13" fillId="55" fontId="21" numFmtId="4" xfId="0" applyAlignment="1" applyBorder="1" applyFont="1" applyNumberFormat="1">
      <alignment horizontal="center" readingOrder="0" vertical="center"/>
    </xf>
    <xf borderId="12" fillId="39" fontId="21" numFmtId="4" xfId="0" applyAlignment="1" applyBorder="1" applyFont="1" applyNumberFormat="1">
      <alignment horizontal="center" readingOrder="0" vertical="center"/>
    </xf>
    <xf borderId="12" fillId="115" fontId="21" numFmtId="4" xfId="0" applyAlignment="1" applyBorder="1" applyFont="1" applyNumberFormat="1">
      <alignment horizontal="center" readingOrder="0" vertical="center"/>
    </xf>
    <xf borderId="12" fillId="26" fontId="21" numFmtId="4" xfId="0" applyAlignment="1" applyBorder="1" applyFont="1" applyNumberFormat="1">
      <alignment horizontal="center" readingOrder="0" vertical="center"/>
    </xf>
    <xf borderId="12" fillId="14" fontId="21" numFmtId="4" xfId="0" applyAlignment="1" applyBorder="1" applyFont="1" applyNumberFormat="1">
      <alignment horizontal="center" readingOrder="0" vertical="center"/>
    </xf>
    <xf borderId="12" fillId="28" fontId="21" numFmtId="4" xfId="0" applyAlignment="1" applyBorder="1" applyFont="1" applyNumberFormat="1">
      <alignment horizontal="center" readingOrder="0" vertical="center"/>
    </xf>
    <xf borderId="12" fillId="90" fontId="21" numFmtId="4" xfId="0" applyAlignment="1" applyBorder="1" applyFont="1" applyNumberFormat="1">
      <alignment horizontal="center" readingOrder="0" vertical="center"/>
    </xf>
    <xf borderId="12" fillId="20" fontId="21" numFmtId="4" xfId="0" applyAlignment="1" applyBorder="1" applyFont="1" applyNumberFormat="1">
      <alignment horizontal="center" readingOrder="0" vertical="center"/>
    </xf>
    <xf borderId="23" fillId="79" fontId="21" numFmtId="4" xfId="0" applyAlignment="1" applyBorder="1" applyFont="1" applyNumberFormat="1">
      <alignment horizontal="center" readingOrder="0" vertical="center"/>
    </xf>
    <xf borderId="23" fillId="32" fontId="21" numFmtId="4" xfId="0" applyAlignment="1" applyBorder="1" applyFont="1" applyNumberFormat="1">
      <alignment horizontal="center" readingOrder="0" vertical="center"/>
    </xf>
    <xf borderId="23" fillId="104" fontId="21" numFmtId="4" xfId="0" applyAlignment="1" applyBorder="1" applyFont="1" applyNumberFormat="1">
      <alignment horizontal="center" readingOrder="0" vertical="center"/>
    </xf>
    <xf borderId="23" fillId="122" fontId="21" numFmtId="4" xfId="0" applyAlignment="1" applyBorder="1" applyFont="1" applyNumberFormat="1">
      <alignment horizontal="center" readingOrder="0" vertical="center"/>
    </xf>
    <xf borderId="23" fillId="18" fontId="21" numFmtId="4" xfId="0" applyAlignment="1" applyBorder="1" applyFont="1" applyNumberFormat="1">
      <alignment horizontal="center" readingOrder="0" vertical="center"/>
    </xf>
    <xf borderId="23" fillId="56" fontId="21" numFmtId="4" xfId="0" applyAlignment="1" applyBorder="1" applyFont="1" applyNumberFormat="1">
      <alignment horizontal="center" readingOrder="0" vertical="center"/>
    </xf>
    <xf borderId="13" fillId="161" fontId="21" numFmtId="4" xfId="0" applyAlignment="1" applyBorder="1" applyFill="1" applyFont="1" applyNumberFormat="1">
      <alignment horizontal="center" readingOrder="0" vertical="center"/>
    </xf>
    <xf borderId="13" fillId="123" fontId="21" numFmtId="4" xfId="0" applyAlignment="1" applyBorder="1" applyFont="1" applyNumberFormat="1">
      <alignment horizontal="center" readingOrder="0" vertical="center"/>
    </xf>
    <xf borderId="13" fillId="162" fontId="21" numFmtId="4" xfId="0" applyAlignment="1" applyBorder="1" applyFill="1" applyFont="1" applyNumberFormat="1">
      <alignment horizontal="center" readingOrder="0" vertical="center"/>
    </xf>
    <xf borderId="18" fillId="36" fontId="21" numFmtId="4" xfId="0" applyAlignment="1" applyBorder="1" applyFont="1" applyNumberFormat="1">
      <alignment horizontal="center" readingOrder="0" vertical="center"/>
    </xf>
    <xf borderId="18" fillId="95" fontId="21" numFmtId="4" xfId="0" applyAlignment="1" applyBorder="1" applyFont="1" applyNumberFormat="1">
      <alignment horizontal="center" readingOrder="0" vertical="center"/>
    </xf>
    <xf borderId="18" fillId="62" fontId="21" numFmtId="4" xfId="0" applyAlignment="1" applyBorder="1" applyFont="1" applyNumberFormat="1">
      <alignment horizontal="center" readingOrder="0" vertical="center"/>
    </xf>
    <xf borderId="18" fillId="121" fontId="21" numFmtId="4" xfId="0" applyAlignment="1" applyBorder="1" applyFont="1" applyNumberFormat="1">
      <alignment horizontal="center" readingOrder="0" vertical="center"/>
    </xf>
    <xf borderId="18" fillId="104" fontId="21" numFmtId="4" xfId="0" applyAlignment="1" applyBorder="1" applyFont="1" applyNumberFormat="1">
      <alignment horizontal="center" readingOrder="0" vertical="center"/>
    </xf>
    <xf borderId="18" fillId="114" fontId="21" numFmtId="4" xfId="0" applyAlignment="1" applyBorder="1" applyFont="1" applyNumberFormat="1">
      <alignment horizontal="center" readingOrder="0" vertical="center"/>
    </xf>
    <xf borderId="18" fillId="39" fontId="21" numFmtId="4" xfId="0" applyAlignment="1" applyBorder="1" applyFont="1" applyNumberFormat="1">
      <alignment horizontal="center" readingOrder="0" vertical="center"/>
    </xf>
    <xf borderId="18" fillId="11" fontId="21" numFmtId="4" xfId="0" applyAlignment="1" applyBorder="1" applyFont="1" applyNumberFormat="1">
      <alignment horizontal="center" readingOrder="0" vertical="center"/>
    </xf>
    <xf borderId="16" fillId="14" fontId="21" numFmtId="4" xfId="0" applyAlignment="1" applyBorder="1" applyFont="1" applyNumberFormat="1">
      <alignment horizontal="center" readingOrder="0" vertical="center"/>
    </xf>
    <xf borderId="16" fillId="123" fontId="21" numFmtId="4" xfId="0" applyAlignment="1" applyBorder="1" applyFont="1" applyNumberFormat="1">
      <alignment horizontal="center" readingOrder="0" vertical="center"/>
    </xf>
    <xf borderId="16" fillId="15" fontId="21" numFmtId="4" xfId="0" applyAlignment="1" applyBorder="1" applyFont="1" applyNumberFormat="1">
      <alignment horizontal="center" readingOrder="0" vertical="center"/>
    </xf>
    <xf borderId="16" fillId="129" fontId="21" numFmtId="4" xfId="0" applyAlignment="1" applyBorder="1" applyFont="1" applyNumberFormat="1">
      <alignment horizontal="center" readingOrder="0" vertical="center"/>
    </xf>
    <xf borderId="16" fillId="51" fontId="21" numFmtId="4" xfId="0" applyAlignment="1" applyBorder="1" applyFont="1" applyNumberFormat="1">
      <alignment horizontal="center" readingOrder="0" vertical="center"/>
    </xf>
    <xf borderId="16" fillId="163" fontId="21" numFmtId="4" xfId="0" applyAlignment="1" applyBorder="1" applyFill="1" applyFont="1" applyNumberFormat="1">
      <alignment horizontal="center" readingOrder="0" vertical="center"/>
    </xf>
    <xf borderId="16" fillId="107" fontId="21" numFmtId="4" xfId="0" applyAlignment="1" applyBorder="1" applyFont="1" applyNumberFormat="1">
      <alignment horizontal="center" readingOrder="0" vertical="center"/>
    </xf>
    <xf borderId="13" fillId="95" fontId="21" numFmtId="4" xfId="0" applyAlignment="1" applyBorder="1" applyFont="1" applyNumberFormat="1">
      <alignment horizontal="center" readingOrder="0" vertical="center"/>
    </xf>
    <xf borderId="18" fillId="72" fontId="21" numFmtId="4" xfId="0" applyAlignment="1" applyBorder="1" applyFont="1" applyNumberFormat="1">
      <alignment horizontal="center" readingOrder="0" vertical="center"/>
    </xf>
    <xf borderId="18" fillId="25" fontId="21" numFmtId="4" xfId="0" applyAlignment="1" applyBorder="1" applyFont="1" applyNumberFormat="1">
      <alignment horizontal="center" readingOrder="0" vertical="center"/>
    </xf>
    <xf borderId="18" fillId="112" fontId="21" numFmtId="4" xfId="0" applyAlignment="1" applyBorder="1" applyFont="1" applyNumberFormat="1">
      <alignment horizontal="center" readingOrder="0" vertical="center"/>
    </xf>
    <xf borderId="18" fillId="107" fontId="21" numFmtId="4" xfId="0" applyAlignment="1" applyBorder="1" applyFont="1" applyNumberFormat="1">
      <alignment horizontal="center" readingOrder="0" vertical="center"/>
    </xf>
    <xf borderId="16" fillId="40" fontId="21" numFmtId="4" xfId="0" applyAlignment="1" applyBorder="1" applyFont="1" applyNumberFormat="1">
      <alignment horizontal="center" readingOrder="0" vertical="center"/>
    </xf>
    <xf borderId="16" fillId="164" fontId="21" numFmtId="4" xfId="0" applyAlignment="1" applyBorder="1" applyFill="1" applyFont="1" applyNumberFormat="1">
      <alignment horizontal="center" readingOrder="0" vertical="center"/>
    </xf>
    <xf borderId="16" fillId="74" fontId="21" numFmtId="4" xfId="0" applyAlignment="1" applyBorder="1" applyFont="1" applyNumberFormat="1">
      <alignment horizontal="center" readingOrder="0" vertical="center"/>
    </xf>
    <xf borderId="16" fillId="76" fontId="21" numFmtId="4" xfId="0" applyAlignment="1" applyBorder="1" applyFont="1" applyNumberFormat="1">
      <alignment horizontal="center" readingOrder="0" vertical="center"/>
    </xf>
    <xf borderId="16" fillId="97" fontId="21" numFmtId="4" xfId="0" applyAlignment="1" applyBorder="1" applyFont="1" applyNumberFormat="1">
      <alignment horizontal="center" readingOrder="0" vertical="center"/>
    </xf>
    <xf borderId="16" fillId="63" fontId="21" numFmtId="4" xfId="0" applyAlignment="1" applyBorder="1" applyFont="1" applyNumberFormat="1">
      <alignment horizontal="center" readingOrder="0" vertical="center"/>
    </xf>
    <xf borderId="16" fillId="58" fontId="21" numFmtId="4" xfId="0" applyAlignment="1" applyBorder="1" applyFont="1" applyNumberFormat="1">
      <alignment horizontal="center" readingOrder="0" vertical="center"/>
    </xf>
    <xf borderId="16" fillId="110" fontId="21" numFmtId="4" xfId="0" applyAlignment="1" applyBorder="1" applyFont="1" applyNumberFormat="1">
      <alignment horizontal="center" readingOrder="0" vertical="center"/>
    </xf>
    <xf borderId="16" fillId="60" fontId="21" numFmtId="4" xfId="0" applyAlignment="1" applyBorder="1" applyFont="1" applyNumberFormat="1">
      <alignment horizontal="center" readingOrder="0" vertical="center"/>
    </xf>
    <xf borderId="13" fillId="165" fontId="21" numFmtId="4" xfId="0" applyAlignment="1" applyBorder="1" applyFill="1" applyFont="1" applyNumberFormat="1">
      <alignment horizontal="center" readingOrder="0" vertical="center"/>
    </xf>
    <xf borderId="13" fillId="166" fontId="21" numFmtId="4" xfId="0" applyAlignment="1" applyBorder="1" applyFill="1" applyFont="1" applyNumberFormat="1">
      <alignment horizontal="center" readingOrder="0" vertical="center"/>
    </xf>
    <xf borderId="13" fillId="143" fontId="21" numFmtId="4" xfId="0" applyAlignment="1" applyBorder="1" applyFont="1" applyNumberFormat="1">
      <alignment horizontal="center" readingOrder="0" vertical="center"/>
    </xf>
    <xf borderId="13" fillId="126" fontId="21" numFmtId="4" xfId="0" applyAlignment="1" applyBorder="1" applyFont="1" applyNumberFormat="1">
      <alignment horizontal="center" readingOrder="0" vertical="center"/>
    </xf>
    <xf borderId="12" fillId="167" fontId="21" numFmtId="2" xfId="0" applyAlignment="1" applyBorder="1" applyFill="1" applyFont="1" applyNumberFormat="1">
      <alignment horizontal="center" readingOrder="0" vertical="center"/>
    </xf>
    <xf borderId="12" fillId="168" fontId="21" numFmtId="2" xfId="0" applyAlignment="1" applyBorder="1" applyFill="1" applyFont="1" applyNumberFormat="1">
      <alignment horizontal="center" readingOrder="0" vertical="center"/>
    </xf>
    <xf borderId="12" fillId="151" fontId="21" numFmtId="2" xfId="0" applyAlignment="1" applyBorder="1" applyFont="1" applyNumberFormat="1">
      <alignment horizontal="center" readingOrder="0" vertical="center"/>
    </xf>
    <xf borderId="12" fillId="149" fontId="21" numFmtId="2" xfId="0" applyAlignment="1" applyBorder="1" applyFont="1" applyNumberFormat="1">
      <alignment horizontal="center" readingOrder="0" vertical="center"/>
    </xf>
    <xf borderId="12" fillId="169" fontId="21" numFmtId="2" xfId="0" applyAlignment="1" applyBorder="1" applyFill="1" applyFont="1" applyNumberFormat="1">
      <alignment horizontal="center" readingOrder="0" vertical="center"/>
    </xf>
    <xf borderId="12" fillId="170" fontId="21" numFmtId="2" xfId="0" applyAlignment="1" applyBorder="1" applyFill="1" applyFont="1" applyNumberFormat="1">
      <alignment horizontal="center" readingOrder="0" vertical="center"/>
    </xf>
    <xf borderId="15" fillId="3" fontId="18" numFmtId="4" xfId="0" applyAlignment="1" applyBorder="1" applyFont="1" applyNumberFormat="1">
      <alignment vertical="bottom"/>
    </xf>
    <xf borderId="5" fillId="3" fontId="18" numFmtId="0" xfId="0" applyAlignment="1" applyBorder="1" applyFont="1">
      <alignment horizontal="center" shrinkToFit="0" wrapText="1"/>
    </xf>
    <xf borderId="71" fillId="3" fontId="18" numFmtId="4" xfId="0" applyAlignment="1" applyBorder="1" applyFont="1" applyNumberFormat="1">
      <alignment vertical="bottom"/>
    </xf>
    <xf borderId="0" fillId="2" fontId="13" numFmtId="0" xfId="0" applyAlignment="1" applyFont="1">
      <alignment horizontal="center" readingOrder="0" shrinkToFit="0" vertical="center" wrapText="1"/>
    </xf>
    <xf borderId="0" fillId="171" fontId="1" numFmtId="0" xfId="0" applyFill="1" applyFont="1"/>
    <xf borderId="0" fillId="171" fontId="1" numFmtId="164" xfId="0" applyFont="1" applyNumberFormat="1"/>
    <xf borderId="0" fillId="171" fontId="1" numFmtId="0" xfId="0" applyFont="1"/>
    <xf borderId="0" fillId="171" fontId="1" numFmtId="2" xfId="0" applyFont="1" applyNumberFormat="1"/>
    <xf borderId="12" fillId="172" fontId="17" numFmtId="0" xfId="0" applyAlignment="1" applyBorder="1" applyFill="1" applyFont="1">
      <alignment horizontal="center" readingOrder="0" vertical="center"/>
    </xf>
    <xf borderId="12" fillId="172" fontId="17" numFmtId="164" xfId="0" applyAlignment="1" applyBorder="1" applyFont="1" applyNumberFormat="1">
      <alignment horizontal="center" readingOrder="0" vertical="center"/>
    </xf>
    <xf borderId="0" fillId="171" fontId="31" numFmtId="164" xfId="0" applyAlignment="1" applyFont="1" applyNumberFormat="1">
      <alignment horizontal="center" readingOrder="0" vertical="center"/>
    </xf>
    <xf borderId="37" fillId="172" fontId="22" numFmtId="164" xfId="0" applyAlignment="1" applyBorder="1" applyFont="1" applyNumberFormat="1">
      <alignment horizontal="center" readingOrder="0" vertical="center"/>
    </xf>
    <xf borderId="72" fillId="172" fontId="22" numFmtId="2" xfId="0" applyAlignment="1" applyBorder="1" applyFont="1" applyNumberFormat="1">
      <alignment horizontal="center" vertical="center"/>
    </xf>
    <xf borderId="73" fillId="0" fontId="1" numFmtId="0" xfId="0" applyBorder="1" applyFont="1"/>
    <xf borderId="13" fillId="172" fontId="32" numFmtId="0" xfId="0" applyAlignment="1" applyBorder="1" applyFont="1">
      <alignment horizontal="center" shrinkToFit="0" vertical="center" wrapText="1"/>
    </xf>
    <xf borderId="40" fillId="0" fontId="1" numFmtId="0" xfId="0" applyBorder="1" applyFont="1"/>
    <xf borderId="12" fillId="6" fontId="33" numFmtId="0" xfId="0" applyAlignment="1" applyBorder="1" applyFont="1">
      <alignment horizontal="center" shrinkToFit="0" textRotation="90" vertical="center" wrapText="1"/>
    </xf>
    <xf borderId="39" fillId="7" fontId="34" numFmtId="0" xfId="0" applyAlignment="1" applyBorder="1" applyFont="1">
      <alignment horizontal="center" readingOrder="0" shrinkToFit="0" vertical="center" wrapText="1"/>
    </xf>
    <xf borderId="39" fillId="7" fontId="34" numFmtId="0" xfId="0" applyAlignment="1" applyBorder="1" applyFont="1">
      <alignment horizontal="center" shrinkToFit="0" vertical="center" wrapText="1"/>
    </xf>
    <xf borderId="12" fillId="8" fontId="30" numFmtId="2" xfId="0" applyAlignment="1" applyBorder="1" applyFont="1" applyNumberFormat="1">
      <alignment horizontal="center" vertical="center"/>
    </xf>
    <xf borderId="12" fillId="5" fontId="21" numFmtId="2" xfId="0" applyAlignment="1" applyBorder="1" applyFont="1" applyNumberFormat="1">
      <alignment horizontal="center" vertical="center"/>
    </xf>
    <xf borderId="13" fillId="5" fontId="21" numFmtId="2" xfId="0" applyAlignment="1" applyBorder="1" applyFont="1" applyNumberFormat="1">
      <alignment horizontal="center" readingOrder="0" vertical="center"/>
    </xf>
    <xf borderId="42" fillId="7" fontId="34" numFmtId="0" xfId="0" applyAlignment="1" applyBorder="1" applyFont="1">
      <alignment horizontal="center" readingOrder="0" shrinkToFit="0" vertical="center" wrapText="1"/>
    </xf>
    <xf borderId="42" fillId="7" fontId="34" numFmtId="0" xfId="0" applyAlignment="1" applyBorder="1" applyFont="1">
      <alignment horizontal="center" shrinkToFit="0" vertical="center" wrapText="1"/>
    </xf>
    <xf borderId="15" fillId="21" fontId="33" numFmtId="0" xfId="0" applyAlignment="1" applyBorder="1" applyFont="1">
      <alignment horizontal="center" shrinkToFit="0" textRotation="90" vertical="center" wrapText="1"/>
    </xf>
    <xf borderId="42" fillId="22" fontId="34" numFmtId="0" xfId="0" applyAlignment="1" applyBorder="1" applyFont="1">
      <alignment horizontal="center" shrinkToFit="0" vertical="center" wrapText="1"/>
    </xf>
    <xf borderId="42" fillId="22" fontId="34" numFmtId="0" xfId="0" applyAlignment="1" applyBorder="1" applyFont="1">
      <alignment horizontal="center" readingOrder="0" shrinkToFit="0" vertical="center" wrapText="1"/>
    </xf>
    <xf borderId="0" fillId="171" fontId="31" numFmtId="0" xfId="0" applyAlignment="1" applyFont="1">
      <alignment horizontal="center" readingOrder="0" vertical="center"/>
    </xf>
    <xf borderId="15" fillId="34" fontId="33" numFmtId="0" xfId="0" applyAlignment="1" applyBorder="1" applyFont="1">
      <alignment horizontal="center" shrinkToFit="0" textRotation="90" vertical="center" wrapText="1"/>
    </xf>
    <xf borderId="42" fillId="35" fontId="34" numFmtId="0" xfId="0" applyAlignment="1" applyBorder="1" applyFont="1">
      <alignment horizontal="center" shrinkToFit="0" vertical="center" wrapText="1"/>
    </xf>
    <xf borderId="42" fillId="35" fontId="34" numFmtId="0" xfId="0" applyAlignment="1" applyBorder="1" applyFont="1">
      <alignment horizontal="center" readingOrder="0" shrinkToFit="0" vertical="center" wrapText="1"/>
    </xf>
    <xf borderId="15" fillId="4" fontId="33" numFmtId="0" xfId="0" applyAlignment="1" applyBorder="1" applyFont="1">
      <alignment horizontal="center" shrinkToFit="0" textRotation="90" vertical="center" wrapText="1"/>
    </xf>
    <xf borderId="42" fillId="45" fontId="34" numFmtId="0" xfId="0" applyAlignment="1" applyBorder="1" applyFont="1">
      <alignment horizontal="center" shrinkToFit="0" vertical="center" wrapText="1"/>
    </xf>
    <xf borderId="42" fillId="45" fontId="34" numFmtId="0" xfId="0" applyAlignment="1" applyBorder="1" applyFont="1">
      <alignment horizontal="center" readingOrder="0" shrinkToFit="0" vertical="center" wrapText="1"/>
    </xf>
    <xf borderId="0" fillId="171" fontId="31" numFmtId="0" xfId="0" applyAlignment="1" applyFont="1">
      <alignment horizontal="center" readingOrder="0" shrinkToFit="0" vertical="center" wrapText="1"/>
    </xf>
    <xf borderId="15" fillId="53" fontId="33" numFmtId="0" xfId="0" applyAlignment="1" applyBorder="1" applyFont="1">
      <alignment horizontal="center" shrinkToFit="0" textRotation="90" vertical="center" wrapText="1"/>
    </xf>
    <xf borderId="42" fillId="54" fontId="34" numFmtId="0" xfId="0" applyAlignment="1" applyBorder="1" applyFont="1">
      <alignment horizontal="center" shrinkToFit="0" vertical="center" wrapText="1"/>
    </xf>
    <xf borderId="42" fillId="54" fontId="34" numFmtId="0" xfId="0" applyAlignment="1" applyBorder="1" applyFont="1">
      <alignment horizontal="center" readingOrder="0" shrinkToFit="0" vertical="center" wrapText="1"/>
    </xf>
    <xf borderId="15" fillId="64" fontId="33" numFmtId="0" xfId="0" applyAlignment="1" applyBorder="1" applyFont="1">
      <alignment horizontal="center" shrinkToFit="0" textRotation="90" vertical="center" wrapText="1"/>
    </xf>
    <xf borderId="42" fillId="65" fontId="34" numFmtId="0" xfId="0" applyAlignment="1" applyBorder="1" applyFont="1">
      <alignment horizontal="center" shrinkToFit="0" vertical="center" wrapText="1"/>
    </xf>
    <xf borderId="42" fillId="65" fontId="34" numFmtId="0" xfId="0" applyAlignment="1" applyBorder="1" applyFont="1">
      <alignment horizontal="center" readingOrder="0" shrinkToFit="0" vertical="center" wrapText="1"/>
    </xf>
    <xf borderId="42" fillId="65" fontId="34" numFmtId="0" xfId="0" applyAlignment="1" applyBorder="1" applyFont="1">
      <alignment horizontal="center" shrinkToFit="0" vertical="center" wrapText="1"/>
    </xf>
    <xf borderId="15" fillId="2" fontId="22" numFmtId="2" xfId="0" applyAlignment="1" applyBorder="1" applyFont="1" applyNumberFormat="1">
      <alignment horizontal="center" shrinkToFit="0" vertical="center" wrapText="1"/>
    </xf>
    <xf borderId="12" fillId="2" fontId="22" numFmtId="2" xfId="0" applyAlignment="1" applyBorder="1" applyFont="1" applyNumberFormat="1">
      <alignment horizontal="center" shrinkToFit="0" vertical="center" wrapText="1"/>
    </xf>
    <xf borderId="0" fillId="171" fontId="22" numFmtId="2" xfId="0" applyAlignment="1" applyFont="1" applyNumberFormat="1">
      <alignment horizontal="center" shrinkToFit="0" vertical="center" wrapText="1"/>
    </xf>
    <xf borderId="0" fillId="171" fontId="21" numFmtId="2" xfId="0" applyAlignment="1" applyFont="1" applyNumberFormat="1">
      <alignment horizontal="center" vertical="center"/>
    </xf>
    <xf borderId="74" fillId="173" fontId="35" numFmtId="164" xfId="0" applyAlignment="1" applyBorder="1" applyFill="1" applyFont="1" applyNumberFormat="1">
      <alignment horizontal="center" vertical="center"/>
    </xf>
    <xf borderId="27" fillId="2" fontId="15" numFmtId="2" xfId="0" applyAlignment="1" applyBorder="1" applyFont="1" applyNumberFormat="1">
      <alignment shrinkToFit="0" vertical="center" wrapText="1"/>
    </xf>
    <xf borderId="74" fillId="174" fontId="35" numFmtId="164" xfId="0" applyAlignment="1" applyBorder="1" applyFill="1" applyFont="1" applyNumberFormat="1">
      <alignment horizontal="center" vertical="center"/>
    </xf>
    <xf borderId="0" fillId="0" fontId="1" numFmtId="0" xfId="0" applyAlignment="1" applyFont="1">
      <alignment vertical="center"/>
    </xf>
    <xf borderId="7" fillId="172" fontId="36" numFmtId="0" xfId="0" applyAlignment="1" applyBorder="1" applyFont="1">
      <alignment horizontal="center" shrinkToFit="0" vertical="center" wrapText="1"/>
    </xf>
    <xf borderId="5" fillId="172" fontId="10" numFmtId="2" xfId="0" applyAlignment="1" applyBorder="1" applyFont="1" applyNumberFormat="1">
      <alignment horizontal="center" shrinkToFit="0" vertical="center" wrapText="1"/>
    </xf>
    <xf borderId="43" fillId="172" fontId="10" numFmtId="2" xfId="0" applyAlignment="1" applyBorder="1" applyFont="1" applyNumberFormat="1">
      <alignment horizontal="center" shrinkToFit="0" vertical="center" wrapText="1"/>
    </xf>
    <xf borderId="0" fillId="175" fontId="35" numFmtId="0" xfId="0" applyAlignment="1" applyFill="1" applyFont="1">
      <alignment horizontal="center" shrinkToFit="0" textRotation="90" vertical="center" wrapText="1"/>
    </xf>
    <xf borderId="0" fillId="176" fontId="37" numFmtId="0" xfId="0" applyAlignment="1" applyFill="1" applyFont="1">
      <alignment horizontal="center" shrinkToFit="0" vertical="center" wrapText="1"/>
    </xf>
    <xf borderId="75" fillId="177" fontId="38" numFmtId="2" xfId="0" applyAlignment="1" applyBorder="1" applyFill="1" applyFont="1" applyNumberFormat="1">
      <alignment horizontal="center" readingOrder="0" shrinkToFit="0" vertical="center" wrapText="1"/>
    </xf>
    <xf borderId="49" fillId="178" fontId="39" numFmtId="2" xfId="0" applyAlignment="1" applyBorder="1" applyFill="1" applyFont="1" applyNumberFormat="1">
      <alignment horizontal="center" vertical="center"/>
    </xf>
    <xf borderId="76" fillId="0" fontId="1" numFmtId="0" xfId="0" applyBorder="1" applyFont="1"/>
    <xf borderId="77" fillId="0" fontId="1" numFmtId="0" xfId="0" applyBorder="1" applyFont="1"/>
    <xf borderId="0" fillId="179" fontId="35" numFmtId="0" xfId="0" applyAlignment="1" applyFill="1" applyFont="1">
      <alignment horizontal="center" shrinkToFit="0" textRotation="90" vertical="center" wrapText="1"/>
    </xf>
    <xf borderId="0" fillId="180" fontId="37" numFmtId="0" xfId="0" applyAlignment="1" applyFill="1" applyFont="1">
      <alignment horizontal="center" shrinkToFit="0" vertical="center" wrapText="1"/>
    </xf>
    <xf borderId="76" fillId="181" fontId="38" numFmtId="2" xfId="0" applyAlignment="1" applyBorder="1" applyFill="1" applyFont="1" applyNumberFormat="1">
      <alignment horizontal="center" readingOrder="0" shrinkToFit="0" vertical="center" wrapText="1"/>
    </xf>
    <xf borderId="78" fillId="0" fontId="1" numFmtId="0" xfId="0" applyBorder="1" applyFont="1"/>
    <xf borderId="0" fillId="182" fontId="35" numFmtId="0" xfId="0" applyAlignment="1" applyFill="1" applyFont="1">
      <alignment horizontal="center" shrinkToFit="0" textRotation="90" vertical="center" wrapText="1"/>
    </xf>
    <xf borderId="0" fillId="183" fontId="37" numFmtId="0" xfId="0" applyAlignment="1" applyFill="1" applyFont="1">
      <alignment horizontal="center" shrinkToFit="0" vertical="center" wrapText="1"/>
    </xf>
    <xf borderId="79" fillId="184" fontId="38" numFmtId="2" xfId="0" applyAlignment="1" applyBorder="1" applyFill="1" applyFont="1" applyNumberFormat="1">
      <alignment horizontal="center" readingOrder="0" shrinkToFit="0" vertical="center" wrapText="1"/>
    </xf>
    <xf borderId="0" fillId="185" fontId="35" numFmtId="0" xfId="0" applyAlignment="1" applyFill="1" applyFont="1">
      <alignment horizontal="center" shrinkToFit="0" textRotation="90" vertical="center" wrapText="1"/>
    </xf>
    <xf borderId="0" fillId="186" fontId="37" numFmtId="0" xfId="0" applyAlignment="1" applyFill="1" applyFont="1">
      <alignment horizontal="center" shrinkToFit="0" vertical="center" wrapText="1"/>
    </xf>
    <xf borderId="76" fillId="8" fontId="38" numFmtId="2" xfId="0" applyAlignment="1" applyBorder="1" applyFont="1" applyNumberFormat="1">
      <alignment horizontal="center" readingOrder="0" shrinkToFit="0" vertical="center" wrapText="1"/>
    </xf>
    <xf borderId="0" fillId="187" fontId="35" numFmtId="0" xfId="0" applyAlignment="1" applyFill="1" applyFont="1">
      <alignment horizontal="center" shrinkToFit="0" textRotation="90" vertical="center" wrapText="1"/>
    </xf>
    <xf borderId="0" fillId="188" fontId="37" numFmtId="0" xfId="0" applyAlignment="1" applyFill="1" applyFont="1">
      <alignment horizontal="center" shrinkToFit="0" vertical="center" wrapText="1"/>
    </xf>
    <xf borderId="79" fillId="189" fontId="38" numFmtId="2" xfId="0" applyAlignment="1" applyBorder="1" applyFill="1" applyFont="1" applyNumberFormat="1">
      <alignment horizontal="center" readingOrder="0" shrinkToFit="0" vertical="center" wrapText="1"/>
    </xf>
    <xf borderId="0" fillId="190" fontId="35" numFmtId="0" xfId="0" applyAlignment="1" applyFill="1" applyFont="1">
      <alignment horizontal="center" shrinkToFit="0" textRotation="90" vertical="center" wrapText="1"/>
    </xf>
    <xf borderId="0" fillId="191" fontId="37" numFmtId="0" xfId="0" applyAlignment="1" applyFill="1" applyFont="1">
      <alignment horizontal="center" shrinkToFit="0" vertical="center" wrapText="1"/>
    </xf>
    <xf borderId="76" fillId="192" fontId="38" numFmtId="2" xfId="0" applyAlignment="1" applyBorder="1" applyFill="1" applyFont="1" applyNumberFormat="1">
      <alignment horizontal="center" readingOrder="0" shrinkToFit="0" vertical="center" wrapText="1"/>
    </xf>
    <xf borderId="0" fillId="171" fontId="18" numFmtId="0" xfId="0" applyFont="1"/>
    <xf borderId="46" fillId="2" fontId="40" numFmtId="2" xfId="0" applyAlignment="1" applyBorder="1" applyFont="1" applyNumberFormat="1">
      <alignment horizontal="center" shrinkToFit="0" vertical="center" wrapText="1"/>
    </xf>
    <xf borderId="46" fillId="178" fontId="39" numFmtId="2" xfId="0" applyAlignment="1" applyBorder="1" applyFont="1" applyNumberFormat="1">
      <alignment horizontal="center" vertical="center"/>
    </xf>
    <xf borderId="49" fillId="0" fontId="1" numFmtId="0" xfId="0" applyBorder="1" applyFont="1"/>
    <xf borderId="0" fillId="171" fontId="15" numFmtId="0" xfId="0" applyAlignment="1" applyFont="1">
      <alignment horizontal="center" shrinkToFit="0" vertical="center" wrapText="0"/>
    </xf>
    <xf borderId="76" fillId="171" fontId="18" numFmtId="0" xfId="0" applyAlignment="1" applyBorder="1" applyFont="1">
      <alignment vertical="center"/>
    </xf>
    <xf borderId="80" fillId="173" fontId="35" numFmtId="0" xfId="0" applyAlignment="1" applyBorder="1" applyFont="1">
      <alignment horizontal="center"/>
    </xf>
    <xf borderId="81" fillId="5" fontId="15" numFmtId="0" xfId="0" applyAlignment="1" applyBorder="1" applyFont="1">
      <alignment horizontal="center" readingOrder="0" shrinkToFit="0" textRotation="0" vertical="center" wrapText="1"/>
    </xf>
    <xf borderId="82" fillId="0" fontId="1" numFmtId="0" xfId="0" applyBorder="1" applyFont="1"/>
    <xf borderId="83" fillId="5" fontId="15" numFmtId="0" xfId="0" applyAlignment="1" applyBorder="1" applyFont="1">
      <alignment horizontal="center" readingOrder="0" shrinkToFit="0" textRotation="0" vertical="center" wrapText="1"/>
    </xf>
    <xf borderId="84" fillId="0" fontId="1" numFmtId="0" xfId="0" applyBorder="1" applyFont="1"/>
    <xf borderId="0" fillId="174" fontId="35" numFmtId="0" xfId="0" applyAlignment="1" applyFont="1">
      <alignment horizontal="center"/>
    </xf>
    <xf borderId="85" fillId="5" fontId="15" numFmtId="0" xfId="0" applyAlignment="1" applyBorder="1" applyFont="1">
      <alignment horizontal="center" readingOrder="0" shrinkToFit="0" textRotation="0" vertical="center" wrapText="1"/>
    </xf>
    <xf borderId="0" fillId="0" fontId="41" numFmtId="0" xfId="0" applyAlignment="1" applyFont="1">
      <alignment horizontal="center" readingOrder="0"/>
    </xf>
    <xf borderId="7" fillId="172" fontId="36" numFmtId="0" xfId="0" applyAlignment="1" applyBorder="1" applyFont="1">
      <alignment horizontal="center" readingOrder="0" shrinkToFit="0" vertical="center" wrapText="1"/>
    </xf>
    <xf borderId="0" fillId="172" fontId="36" numFmtId="0" xfId="0" applyAlignment="1" applyFont="1">
      <alignment horizontal="center" readingOrder="0" shrinkToFit="0" vertical="center" wrapText="1"/>
    </xf>
    <xf borderId="86" fillId="193" fontId="39" numFmtId="2" xfId="0" applyAlignment="1" applyBorder="1" applyFill="1" applyFont="1" applyNumberFormat="1">
      <alignment horizontal="center"/>
    </xf>
    <xf borderId="87" fillId="193" fontId="39" numFmtId="2" xfId="0" applyAlignment="1" applyBorder="1" applyFont="1" applyNumberFormat="1">
      <alignment horizontal="center"/>
    </xf>
    <xf borderId="86" fillId="194" fontId="39" numFmtId="2" xfId="0" applyAlignment="1" applyBorder="1" applyFill="1" applyFont="1" applyNumberFormat="1">
      <alignment horizontal="center"/>
    </xf>
    <xf borderId="87" fillId="194" fontId="39" numFmtId="2" xfId="0" applyAlignment="1" applyBorder="1" applyFont="1" applyNumberFormat="1">
      <alignment horizontal="center"/>
    </xf>
    <xf borderId="86" fillId="178" fontId="39" numFmtId="2" xfId="0" applyAlignment="1" applyBorder="1" applyFont="1" applyNumberFormat="1">
      <alignment horizontal="center"/>
    </xf>
    <xf borderId="88" fillId="193" fontId="39" numFmtId="2" xfId="0" applyAlignment="1" applyBorder="1" applyFont="1" applyNumberFormat="1">
      <alignment horizontal="center"/>
    </xf>
    <xf borderId="87" fillId="195" fontId="39" numFmtId="2" xfId="0" applyAlignment="1" applyBorder="1" applyFill="1" applyFont="1" applyNumberFormat="1">
      <alignment horizontal="center"/>
    </xf>
    <xf borderId="88" fillId="178" fontId="39" numFmtId="2" xfId="0" applyAlignment="1" applyBorder="1" applyFont="1" applyNumberFormat="1">
      <alignment horizontal="center"/>
    </xf>
    <xf borderId="87" fillId="188" fontId="39" numFmtId="2" xfId="0" applyAlignment="1" applyBorder="1" applyFont="1" applyNumberFormat="1">
      <alignment horizontal="center"/>
    </xf>
    <xf borderId="88" fillId="194" fontId="39" numFmtId="2" xfId="0" applyAlignment="1" applyBorder="1" applyFont="1" applyNumberFormat="1">
      <alignment horizontal="center"/>
    </xf>
    <xf borderId="45" fillId="194" fontId="39" numFmtId="2" xfId="0" applyAlignment="1" applyBorder="1" applyFont="1" applyNumberFormat="1">
      <alignment horizontal="center"/>
    </xf>
    <xf borderId="45" fillId="193" fontId="39" numFmtId="2" xfId="0" applyAlignment="1" applyBorder="1" applyFont="1" applyNumberFormat="1">
      <alignment horizontal="center"/>
    </xf>
    <xf borderId="45" fillId="178" fontId="39" numFmtId="2" xfId="0" applyAlignment="1" applyBorder="1" applyFont="1" applyNumberFormat="1">
      <alignment horizontal="center"/>
    </xf>
    <xf borderId="45" fillId="195" fontId="39" numFmtId="2" xfId="0" applyAlignment="1" applyBorder="1" applyFont="1" applyNumberFormat="1">
      <alignment horizontal="center"/>
    </xf>
    <xf borderId="45" fillId="188" fontId="39" numFmtId="2" xfId="0" applyAlignment="1" applyBorder="1" applyFont="1" applyNumberFormat="1">
      <alignment horizontal="center"/>
    </xf>
    <xf borderId="76" fillId="193" fontId="39" numFmtId="2" xfId="0" applyAlignment="1" applyBorder="1" applyFont="1" applyNumberFormat="1">
      <alignment horizontal="center"/>
    </xf>
    <xf borderId="76" fillId="194" fontId="39" numFmtId="2" xfId="0" applyAlignment="1" applyBorder="1" applyFont="1" applyNumberFormat="1">
      <alignment horizontal="center"/>
    </xf>
    <xf borderId="46" fillId="194" fontId="39" numFmtId="2" xfId="0" applyAlignment="1" applyBorder="1" applyFont="1" applyNumberFormat="1">
      <alignment horizontal="center"/>
    </xf>
    <xf borderId="46" fillId="178" fontId="39" numFmtId="2" xfId="0" applyAlignment="1" applyBorder="1" applyFont="1" applyNumberFormat="1">
      <alignment horizontal="center"/>
    </xf>
    <xf borderId="46" fillId="193" fontId="39" numFmtId="2" xfId="0" applyAlignment="1" applyBorder="1" applyFont="1" applyNumberFormat="1">
      <alignment horizontal="center"/>
    </xf>
    <xf borderId="46" fillId="188" fontId="39" numFmtId="2" xfId="0" applyAlignment="1" applyBorder="1" applyFont="1" applyNumberFormat="1">
      <alignment horizontal="center"/>
    </xf>
    <xf borderId="45" fillId="196" fontId="39" numFmtId="2" xfId="0" applyAlignment="1" applyBorder="1" applyFill="1" applyFont="1" applyNumberFormat="1">
      <alignment horizontal="center"/>
    </xf>
    <xf borderId="0" fillId="180" fontId="37" numFmtId="0" xfId="0" applyAlignment="1" applyFont="1">
      <alignment horizontal="center" readingOrder="0" shrinkToFit="0" vertical="center" wrapText="1"/>
    </xf>
    <xf borderId="89" fillId="0" fontId="1" numFmtId="0" xfId="0" applyBorder="1" applyFont="1"/>
    <xf borderId="0" fillId="183" fontId="37" numFmtId="0" xfId="0" applyAlignment="1" applyFont="1">
      <alignment horizontal="center" readingOrder="0" shrinkToFit="0" vertical="center" wrapText="1"/>
    </xf>
    <xf borderId="76" fillId="195" fontId="39" numFmtId="2" xfId="0" applyAlignment="1" applyBorder="1" applyFont="1" applyNumberFormat="1">
      <alignment horizontal="center"/>
    </xf>
    <xf borderId="46" fillId="195" fontId="39" numFmtId="2" xfId="0" applyAlignment="1" applyBorder="1" applyFont="1" applyNumberFormat="1">
      <alignment horizontal="center"/>
    </xf>
    <xf borderId="0" fillId="186" fontId="37" numFmtId="0" xfId="0" applyAlignment="1" applyFont="1">
      <alignment horizontal="center" readingOrder="0" shrinkToFit="0" vertical="center" wrapText="1"/>
    </xf>
    <xf borderId="0" fillId="188" fontId="37" numFmtId="0" xfId="0" applyAlignment="1" applyFont="1">
      <alignment horizontal="center" readingOrder="0" shrinkToFit="0" vertical="center" wrapText="1"/>
    </xf>
    <xf borderId="0" fillId="191" fontId="37" numFmtId="0" xfId="0" applyAlignment="1" applyFont="1">
      <alignment horizontal="center" readingOrder="0" shrinkToFit="0" vertical="center" wrapText="1"/>
    </xf>
    <xf borderId="46" fillId="2" fontId="40" numFmtId="2" xfId="0" applyAlignment="1" applyBorder="1" applyFont="1" applyNumberFormat="1">
      <alignment horizontal="center" shrinkToFit="0" wrapText="1"/>
    </xf>
    <xf borderId="81" fillId="0" fontId="1" numFmtId="0" xfId="0" applyBorder="1" applyFont="1"/>
    <xf borderId="83" fillId="0" fontId="1" numFmtId="0" xfId="0" applyBorder="1" applyFont="1"/>
    <xf borderId="85" fillId="0" fontId="1" numFmtId="0" xfId="0" applyBorder="1" applyFont="1"/>
    <xf borderId="0" fillId="175" fontId="35" numFmtId="0" xfId="0" applyAlignment="1" applyFont="1">
      <alignment horizontal="center" readingOrder="0" shrinkToFit="0" textRotation="90" vertical="center" wrapText="1"/>
    </xf>
    <xf borderId="0" fillId="176" fontId="37" numFmtId="0" xfId="0" applyAlignment="1" applyFont="1">
      <alignment horizontal="center" readingOrder="0" shrinkToFit="0" vertical="center" wrapText="1"/>
    </xf>
    <xf borderId="90" fillId="193" fontId="39" numFmtId="2" xfId="0" applyAlignment="1" applyBorder="1" applyFont="1" applyNumberFormat="1">
      <alignment horizontal="center" vertical="center"/>
    </xf>
    <xf borderId="47" fillId="193" fontId="39" numFmtId="2" xfId="0" applyAlignment="1" applyBorder="1" applyFont="1" applyNumberFormat="1">
      <alignment horizontal="center" vertical="center"/>
    </xf>
    <xf borderId="91" fillId="194" fontId="39" numFmtId="2" xfId="0" applyAlignment="1" applyBorder="1" applyFont="1" applyNumberFormat="1">
      <alignment horizontal="center" vertical="center"/>
    </xf>
    <xf borderId="47" fillId="194" fontId="39" numFmtId="2" xfId="0" applyAlignment="1" applyBorder="1" applyFont="1" applyNumberFormat="1">
      <alignment horizontal="center" vertical="center"/>
    </xf>
    <xf borderId="90" fillId="194" fontId="39" numFmtId="2" xfId="0" applyAlignment="1" applyBorder="1" applyFont="1" applyNumberFormat="1">
      <alignment horizontal="center" vertical="center"/>
    </xf>
    <xf borderId="90" fillId="178" fontId="39" numFmtId="2" xfId="0" applyAlignment="1" applyBorder="1" applyFont="1" applyNumberFormat="1">
      <alignment horizontal="center" vertical="center"/>
    </xf>
    <xf borderId="47" fillId="178" fontId="39" numFmtId="2" xfId="0" applyAlignment="1" applyBorder="1" applyFont="1" applyNumberFormat="1">
      <alignment horizontal="center" vertical="center"/>
    </xf>
    <xf borderId="90" fillId="188" fontId="42" numFmtId="2" xfId="0" applyAlignment="1" applyBorder="1" applyFont="1" applyNumberFormat="1">
      <alignment horizontal="center" vertical="center"/>
    </xf>
    <xf borderId="47" fillId="196" fontId="39" numFmtId="2" xfId="0" applyAlignment="1" applyBorder="1" applyFont="1" applyNumberFormat="1">
      <alignment horizontal="center" vertical="center"/>
    </xf>
    <xf borderId="47" fillId="195" fontId="39" numFmtId="2" xfId="0" applyAlignment="1" applyBorder="1" applyFont="1" applyNumberFormat="1">
      <alignment horizontal="center" vertical="center"/>
    </xf>
    <xf borderId="92" fillId="178" fontId="39" numFmtId="2" xfId="0" applyAlignment="1" applyBorder="1" applyFont="1" applyNumberFormat="1">
      <alignment horizontal="center" vertical="center"/>
    </xf>
    <xf borderId="47" fillId="188" fontId="42" numFmtId="2" xfId="0" applyAlignment="1" applyBorder="1" applyFont="1" applyNumberFormat="1">
      <alignment horizontal="center" vertical="center"/>
    </xf>
    <xf borderId="93" fillId="0" fontId="1" numFmtId="0" xfId="0" applyBorder="1" applyFont="1"/>
    <xf borderId="49" fillId="194" fontId="39" numFmtId="2" xfId="0" applyAlignment="1" applyBorder="1" applyFont="1" applyNumberFormat="1">
      <alignment horizontal="center" vertical="center"/>
    </xf>
    <xf borderId="94" fillId="0" fontId="1" numFmtId="0" xfId="0" applyBorder="1" applyFont="1"/>
    <xf borderId="49" fillId="193" fontId="39" numFmtId="2" xfId="0" applyAlignment="1" applyBorder="1" applyFont="1" applyNumberFormat="1">
      <alignment horizontal="center" vertical="center"/>
    </xf>
    <xf borderId="49" fillId="188" fontId="42" numFmtId="2" xfId="0" applyAlignment="1" applyBorder="1" applyFont="1" applyNumberFormat="1">
      <alignment horizontal="center" vertical="center"/>
    </xf>
    <xf borderId="95" fillId="188" fontId="42" numFmtId="2" xfId="0" applyAlignment="1" applyBorder="1" applyFont="1" applyNumberFormat="1">
      <alignment horizontal="center" vertical="center"/>
    </xf>
    <xf borderId="49" fillId="195" fontId="39" numFmtId="2" xfId="0" applyAlignment="1" applyBorder="1" applyFont="1" applyNumberFormat="1">
      <alignment horizontal="center" vertical="center"/>
    </xf>
    <xf borderId="49" fillId="196" fontId="39" numFmtId="2" xfId="0" applyAlignment="1" applyBorder="1" applyFont="1" applyNumberFormat="1">
      <alignment horizontal="center" vertical="center"/>
    </xf>
    <xf borderId="95" fillId="196" fontId="39" numFmtId="2" xfId="0" applyAlignment="1" applyBorder="1" applyFont="1" applyNumberFormat="1">
      <alignment horizontal="center" vertical="center"/>
    </xf>
    <xf borderId="96" fillId="0" fontId="1" numFmtId="0" xfId="0" applyBorder="1" applyFont="1"/>
    <xf borderId="97" fillId="0" fontId="1" numFmtId="0" xfId="0" applyBorder="1" applyFont="1"/>
    <xf borderId="0" fillId="179" fontId="35" numFmtId="0" xfId="0" applyAlignment="1" applyFont="1">
      <alignment horizontal="center" readingOrder="0" shrinkToFit="0" textRotation="90" vertical="center" wrapText="1"/>
    </xf>
    <xf borderId="93" fillId="194" fontId="39" numFmtId="2" xfId="0" applyAlignment="1" applyBorder="1" applyFont="1" applyNumberFormat="1">
      <alignment horizontal="center" vertical="center"/>
    </xf>
    <xf borderId="93" fillId="193" fontId="39" numFmtId="2" xfId="0" applyAlignment="1" applyBorder="1" applyFont="1" applyNumberFormat="1">
      <alignment horizontal="center" vertical="center"/>
    </xf>
    <xf borderId="94" fillId="178" fontId="39" numFmtId="2" xfId="0" applyAlignment="1" applyBorder="1" applyFont="1" applyNumberFormat="1">
      <alignment horizontal="center" vertical="center"/>
    </xf>
    <xf borderId="93" fillId="178" fontId="39" numFmtId="2" xfId="0" applyAlignment="1" applyBorder="1" applyFont="1" applyNumberFormat="1">
      <alignment horizontal="center" vertical="center"/>
    </xf>
    <xf borderId="93" fillId="188" fontId="42" numFmtId="2" xfId="0" applyAlignment="1" applyBorder="1" applyFont="1" applyNumberFormat="1">
      <alignment horizontal="center" vertical="center"/>
    </xf>
    <xf borderId="95" fillId="178" fontId="39" numFmtId="2" xfId="0" applyAlignment="1" applyBorder="1" applyFont="1" applyNumberFormat="1">
      <alignment horizontal="center" vertical="center"/>
    </xf>
    <xf borderId="95" fillId="193" fontId="39" numFmtId="2" xfId="0" applyAlignment="1" applyBorder="1" applyFont="1" applyNumberFormat="1">
      <alignment horizontal="center" vertical="center"/>
    </xf>
    <xf borderId="95" fillId="194" fontId="39" numFmtId="2" xfId="0" applyAlignment="1" applyBorder="1" applyFont="1" applyNumberFormat="1">
      <alignment horizontal="center" vertical="center"/>
    </xf>
    <xf borderId="98" fillId="0" fontId="1" numFmtId="0" xfId="0" applyBorder="1" applyFont="1"/>
    <xf borderId="0" fillId="182" fontId="35" numFmtId="0" xfId="0" applyAlignment="1" applyFont="1">
      <alignment horizontal="center" readingOrder="0" shrinkToFit="0" textRotation="90" vertical="center" wrapText="1"/>
    </xf>
    <xf borderId="94" fillId="194" fontId="39" numFmtId="2" xfId="0" applyAlignment="1" applyBorder="1" applyFont="1" applyNumberFormat="1">
      <alignment horizontal="center" vertical="center"/>
    </xf>
    <xf borderId="0" fillId="185" fontId="35" numFmtId="0" xfId="0" applyAlignment="1" applyFont="1">
      <alignment horizontal="center" readingOrder="0" shrinkToFit="0" textRotation="90" vertical="center" wrapText="1"/>
    </xf>
    <xf borderId="93" fillId="195" fontId="39" numFmtId="2" xfId="0" applyAlignment="1" applyBorder="1" applyFont="1" applyNumberFormat="1">
      <alignment horizontal="center" vertical="center"/>
    </xf>
    <xf borderId="99" fillId="0" fontId="1" numFmtId="0" xfId="0" applyBorder="1" applyFont="1"/>
    <xf borderId="0" fillId="187" fontId="35" numFmtId="0" xfId="0" applyAlignment="1" applyFont="1">
      <alignment horizontal="center" shrinkToFit="0" textRotation="90" vertical="center" wrapText="1"/>
    </xf>
    <xf borderId="0" fillId="190" fontId="35" numFmtId="0" xfId="0" applyAlignment="1" applyFont="1">
      <alignment horizontal="center" readingOrder="0" shrinkToFit="0" textRotation="90" vertical="center" wrapText="1"/>
    </xf>
    <xf borderId="92" fillId="193" fontId="39" numFmtId="2" xfId="0" applyAlignment="1" applyBorder="1" applyFont="1" applyNumberFormat="1">
      <alignment horizontal="center" readingOrder="0" vertical="center"/>
    </xf>
    <xf borderId="46" fillId="196" fontId="39" numFmtId="2" xfId="0" applyAlignment="1" applyBorder="1" applyFont="1" applyNumberFormat="1">
      <alignment horizontal="center" vertical="center"/>
    </xf>
    <xf borderId="92" fillId="10" fontId="39" numFmtId="2" xfId="0" applyAlignment="1" applyBorder="1" applyFont="1" applyNumberFormat="1">
      <alignment horizontal="center" readingOrder="0" vertical="center"/>
    </xf>
    <xf borderId="92" fillId="194" fontId="39" numFmtId="2" xfId="0" applyAlignment="1" applyBorder="1" applyFont="1" applyNumberFormat="1">
      <alignment horizontal="center" readingOrder="0" vertical="center"/>
    </xf>
    <xf borderId="92" fillId="178" fontId="39" numFmtId="2" xfId="0" applyAlignment="1" applyBorder="1" applyFont="1" applyNumberFormat="1">
      <alignment horizontal="center" readingOrder="0" vertical="center"/>
    </xf>
    <xf borderId="92" fillId="196" fontId="39" numFmtId="2" xfId="0" applyAlignment="1" applyBorder="1" applyFont="1" applyNumberFormat="1">
      <alignment horizontal="center" readingOrder="0" vertical="center"/>
    </xf>
    <xf borderId="92" fillId="188" fontId="42" numFmtId="2" xfId="0" applyAlignment="1" applyBorder="1" applyFont="1" applyNumberFormat="1">
      <alignment horizontal="center" readingOrder="0" vertical="center"/>
    </xf>
    <xf borderId="47" fillId="178" fontId="39" numFmtId="2" xfId="0" applyAlignment="1" applyBorder="1" applyFont="1" applyNumberFormat="1">
      <alignment horizontal="center" readingOrder="0" vertical="center"/>
    </xf>
    <xf borderId="0" fillId="176" fontId="37" numFmtId="0" xfId="0" applyAlignment="1" applyFont="1">
      <alignment horizontal="center" shrinkToFit="0" vertical="center" wrapText="1"/>
    </xf>
    <xf borderId="95" fillId="194" fontId="39" numFmtId="2" xfId="0" applyAlignment="1" applyBorder="1" applyFont="1" applyNumberFormat="1">
      <alignment horizontal="center" readingOrder="0" vertical="center"/>
    </xf>
    <xf borderId="95" fillId="178" fontId="39" numFmtId="2" xfId="0" applyAlignment="1" applyBorder="1" applyFont="1" applyNumberFormat="1">
      <alignment horizontal="center" readingOrder="0" vertical="center"/>
    </xf>
    <xf borderId="95" fillId="193" fontId="39" numFmtId="2" xfId="0" applyAlignment="1" applyBorder="1" applyFont="1" applyNumberFormat="1">
      <alignment horizontal="center" readingOrder="0" vertical="center"/>
    </xf>
    <xf borderId="95" fillId="188" fontId="42" numFmtId="2" xfId="0" applyAlignment="1" applyBorder="1" applyFont="1" applyNumberFormat="1">
      <alignment horizontal="center" readingOrder="0" vertical="center"/>
    </xf>
    <xf borderId="49" fillId="178" fontId="39" numFmtId="2" xfId="0" applyAlignment="1" applyBorder="1" applyFont="1" applyNumberFormat="1">
      <alignment horizontal="center" readingOrder="0" vertical="center"/>
    </xf>
    <xf borderId="95" fillId="195" fontId="39" numFmtId="2" xfId="0" applyAlignment="1" applyBorder="1" applyFont="1" applyNumberFormat="1">
      <alignment horizontal="center" readingOrder="0" vertical="center"/>
    </xf>
    <xf borderId="95" fillId="196" fontId="39" numFmtId="2" xfId="0" applyAlignment="1" applyBorder="1" applyFont="1" applyNumberFormat="1">
      <alignment horizontal="center" readingOrder="0" vertical="center"/>
    </xf>
    <xf borderId="49" fillId="196" fontId="39" numFmtId="2" xfId="0" applyAlignment="1" applyBorder="1" applyFont="1" applyNumberFormat="1">
      <alignment horizontal="center" readingOrder="0" vertical="center"/>
    </xf>
    <xf borderId="30" fillId="180" fontId="37" numFmtId="0" xfId="0" applyAlignment="1" applyBorder="1" applyFont="1">
      <alignment horizontal="center" shrinkToFit="0" vertical="center" wrapText="1"/>
    </xf>
    <xf borderId="30" fillId="180" fontId="37" numFmtId="0" xfId="0" applyAlignment="1" applyBorder="1" applyFont="1">
      <alignment horizontal="center" readingOrder="0" shrinkToFit="0" vertical="center" wrapText="1"/>
    </xf>
    <xf borderId="49" fillId="194" fontId="39" numFmtId="2" xfId="0" applyAlignment="1" applyBorder="1" applyFont="1" applyNumberFormat="1">
      <alignment horizontal="center" readingOrder="0" vertical="center"/>
    </xf>
    <xf borderId="49" fillId="188" fontId="42" numFmtId="2" xfId="0" applyAlignment="1" applyBorder="1" applyFont="1" applyNumberFormat="1">
      <alignment horizontal="center" readingOrder="0" vertical="center"/>
    </xf>
    <xf borderId="30" fillId="183" fontId="37" numFmtId="0" xfId="0" applyAlignment="1" applyBorder="1" applyFont="1">
      <alignment horizontal="center" readingOrder="0" shrinkToFit="0" vertical="center" wrapText="1"/>
    </xf>
    <xf borderId="30" fillId="183" fontId="37" numFmtId="0" xfId="0" applyAlignment="1" applyBorder="1" applyFont="1">
      <alignment horizontal="center" shrinkToFit="0" vertical="center" wrapText="1"/>
    </xf>
    <xf borderId="49" fillId="193" fontId="39" numFmtId="2" xfId="0" applyAlignment="1" applyBorder="1" applyFont="1" applyNumberFormat="1">
      <alignment horizontal="center" readingOrder="0" vertical="center"/>
    </xf>
    <xf borderId="30" fillId="186" fontId="37" numFmtId="0" xfId="0" applyAlignment="1" applyBorder="1" applyFont="1">
      <alignment horizontal="center" shrinkToFit="0" vertical="center" wrapText="1"/>
    </xf>
    <xf borderId="30" fillId="186" fontId="37" numFmtId="0" xfId="0" applyAlignment="1" applyBorder="1" applyFont="1">
      <alignment horizontal="center" readingOrder="0" shrinkToFit="0" vertical="center" wrapText="1"/>
    </xf>
    <xf borderId="30" fillId="188" fontId="37" numFmtId="0" xfId="0" applyAlignment="1" applyBorder="1" applyFont="1">
      <alignment horizontal="center" readingOrder="0" shrinkToFit="0" vertical="center" wrapText="1"/>
    </xf>
    <xf borderId="30" fillId="191" fontId="37" numFmtId="0" xfId="0" applyAlignment="1" applyBorder="1" applyFont="1">
      <alignment horizontal="center" readingOrder="0" shrinkToFit="0" vertical="center" wrapText="1"/>
    </xf>
    <xf borderId="49" fillId="195" fontId="39" numFmtId="2" xfId="0" applyAlignment="1" applyBorder="1" applyFont="1" applyNumberFormat="1">
      <alignment horizontal="center" readingOrder="0" vertical="center"/>
    </xf>
    <xf borderId="30" fillId="191" fontId="37" numFmtId="0" xfId="0" applyAlignment="1" applyBorder="1" applyFont="1">
      <alignment horizontal="center" shrinkToFit="0" vertical="center" wrapText="1"/>
    </xf>
    <xf borderId="40" fillId="191" fontId="37" numFmtId="0" xfId="0" applyAlignment="1" applyBorder="1" applyFont="1">
      <alignment horizontal="center" readingOrder="0" shrinkToFit="0" vertical="center" wrapText="1"/>
    </xf>
    <xf borderId="46" fillId="2" fontId="40" numFmtId="2" xfId="0" applyAlignment="1" applyBorder="1" applyFont="1" applyNumberFormat="1">
      <alignment horizontal="center" shrinkToFit="0" vertical="bottom" wrapText="1"/>
    </xf>
    <xf borderId="0" fillId="172" fontId="36" numFmtId="0" xfId="0" applyAlignment="1" applyFont="1">
      <alignment horizontal="center" shrinkToFit="0" vertical="center" wrapText="1"/>
    </xf>
    <xf borderId="0" fillId="171" fontId="18" numFmtId="0" xfId="0" applyAlignment="1" applyFont="1">
      <alignment vertical="bottom"/>
    </xf>
    <xf borderId="37" fillId="172" fontId="36" numFmtId="0" xfId="0" applyAlignment="1" applyBorder="1" applyFont="1">
      <alignment horizontal="center" shrinkToFit="0" wrapText="1"/>
    </xf>
    <xf borderId="37" fillId="172" fontId="36" numFmtId="0" xfId="0" applyAlignment="1" applyBorder="1" applyFont="1">
      <alignment horizontal="center" readingOrder="0" shrinkToFit="0" wrapText="1"/>
    </xf>
    <xf borderId="0" fillId="172" fontId="18" numFmtId="0" xfId="0" applyFont="1"/>
    <xf borderId="13" fillId="172" fontId="10" numFmtId="2" xfId="0" applyAlignment="1" applyBorder="1" applyFont="1" applyNumberFormat="1">
      <alignment horizontal="center" shrinkToFit="0" wrapText="1"/>
    </xf>
    <xf borderId="0" fillId="175" fontId="35" numFmtId="0" xfId="0" applyAlignment="1" applyFont="1">
      <alignment horizontal="center" shrinkToFit="0" textRotation="90" vertical="center" wrapText="1"/>
    </xf>
    <xf borderId="0" fillId="176" fontId="37" numFmtId="0" xfId="0" applyAlignment="1" applyFont="1">
      <alignment horizontal="center" shrinkToFit="0" vertical="bottom" wrapText="1"/>
    </xf>
    <xf borderId="100" fillId="195" fontId="39" numFmtId="2" xfId="0" applyAlignment="1" applyBorder="1" applyFont="1" applyNumberFormat="1">
      <alignment horizontal="center"/>
    </xf>
    <xf borderId="13" fillId="195" fontId="39" numFmtId="2" xfId="0" applyAlignment="1" applyBorder="1" applyFont="1" applyNumberFormat="1">
      <alignment horizontal="center"/>
    </xf>
    <xf borderId="100" fillId="194" fontId="39" numFmtId="2" xfId="0" applyAlignment="1" applyBorder="1" applyFont="1" applyNumberFormat="1">
      <alignment horizontal="center"/>
    </xf>
    <xf borderId="13" fillId="178" fontId="39" numFmtId="2" xfId="0" applyAlignment="1" applyBorder="1" applyFont="1" applyNumberFormat="1">
      <alignment horizontal="center"/>
    </xf>
    <xf borderId="100" fillId="193" fontId="39" numFmtId="2" xfId="0" applyAlignment="1" applyBorder="1" applyFont="1" applyNumberFormat="1">
      <alignment horizontal="center"/>
    </xf>
    <xf borderId="13" fillId="193" fontId="39" numFmtId="2" xfId="0" applyAlignment="1" applyBorder="1" applyFont="1" applyNumberFormat="1">
      <alignment horizontal="center"/>
    </xf>
    <xf borderId="13" fillId="188" fontId="39" numFmtId="2" xfId="0" applyAlignment="1" applyBorder="1" applyFont="1" applyNumberFormat="1">
      <alignment horizontal="center"/>
    </xf>
    <xf borderId="13" fillId="194" fontId="39" numFmtId="2" xfId="0" applyAlignment="1" applyBorder="1" applyFont="1" applyNumberFormat="1">
      <alignment horizontal="center"/>
    </xf>
    <xf borderId="100" fillId="178" fontId="39" numFmtId="2" xfId="0" applyAlignment="1" applyBorder="1" applyFont="1" applyNumberFormat="1">
      <alignment horizontal="center"/>
    </xf>
    <xf borderId="100" fillId="188" fontId="39" numFmtId="2" xfId="0" applyAlignment="1" applyBorder="1" applyFont="1" applyNumberFormat="1">
      <alignment horizontal="center"/>
    </xf>
    <xf borderId="13" fillId="196" fontId="39" numFmtId="2" xfId="0" applyAlignment="1" applyBorder="1" applyFont="1" applyNumberFormat="1">
      <alignment horizontal="center"/>
    </xf>
    <xf borderId="0" fillId="179" fontId="35" numFmtId="0" xfId="0" applyAlignment="1" applyFont="1">
      <alignment horizontal="center" shrinkToFit="0" textRotation="90" vertical="center" wrapText="1"/>
    </xf>
    <xf borderId="0" fillId="180" fontId="37" numFmtId="0" xfId="0" applyAlignment="1" applyFont="1">
      <alignment horizontal="center" shrinkToFit="0" vertical="bottom" wrapText="1"/>
    </xf>
    <xf borderId="0" fillId="180" fontId="37" numFmtId="0" xfId="0" applyAlignment="1" applyFont="1">
      <alignment horizontal="center" shrinkToFit="0" vertical="center" wrapText="1"/>
    </xf>
    <xf borderId="0" fillId="182" fontId="35" numFmtId="0" xfId="0" applyAlignment="1" applyFont="1">
      <alignment horizontal="center" shrinkToFit="0" textRotation="90" vertical="center" wrapText="1"/>
    </xf>
    <xf borderId="0" fillId="183" fontId="37" numFmtId="0" xfId="0" applyAlignment="1" applyFont="1">
      <alignment horizontal="center" shrinkToFit="0" vertical="bottom" wrapText="1"/>
    </xf>
    <xf borderId="0" fillId="183" fontId="37" numFmtId="0" xfId="0" applyAlignment="1" applyFont="1">
      <alignment horizontal="center" shrinkToFit="0" vertical="center" wrapText="1"/>
    </xf>
    <xf borderId="0" fillId="185" fontId="35" numFmtId="0" xfId="0" applyAlignment="1" applyFont="1">
      <alignment horizontal="center" shrinkToFit="0" textRotation="90" vertical="center" wrapText="1"/>
    </xf>
    <xf borderId="0" fillId="186" fontId="37" numFmtId="0" xfId="0" applyAlignment="1" applyFont="1">
      <alignment horizontal="center" shrinkToFit="0" vertical="center" wrapText="1"/>
    </xf>
    <xf borderId="100" fillId="196" fontId="39" numFmtId="2" xfId="0" applyAlignment="1" applyBorder="1" applyFont="1" applyNumberFormat="1">
      <alignment horizontal="center"/>
    </xf>
    <xf borderId="0" fillId="186" fontId="37" numFmtId="0" xfId="0" applyAlignment="1" applyFont="1">
      <alignment horizontal="center" shrinkToFit="0" vertical="bottom" wrapText="1"/>
    </xf>
    <xf borderId="0" fillId="188" fontId="37" numFmtId="0" xfId="0" applyAlignment="1" applyFont="1">
      <alignment horizontal="center" shrinkToFit="0" vertical="center" wrapText="1"/>
    </xf>
    <xf borderId="0" fillId="188" fontId="37" numFmtId="0" xfId="0" applyAlignment="1" applyFont="1">
      <alignment horizontal="center" shrinkToFit="0" vertical="bottom" wrapText="1"/>
    </xf>
    <xf borderId="0" fillId="190" fontId="35" numFmtId="0" xfId="0" applyAlignment="1" applyFont="1">
      <alignment horizontal="center" shrinkToFit="0" textRotation="90" vertical="center" wrapText="1"/>
    </xf>
    <xf borderId="0" fillId="191" fontId="37" numFmtId="0" xfId="0" applyAlignment="1" applyFont="1">
      <alignment horizontal="center" shrinkToFit="0" vertical="bottom" wrapText="1"/>
    </xf>
    <xf borderId="0" fillId="191" fontId="37" numFmtId="0" xfId="0" applyAlignment="1" applyFont="1">
      <alignment horizontal="center" shrinkToFit="0" wrapText="1"/>
    </xf>
    <xf borderId="0" fillId="191" fontId="37" numFmtId="0" xfId="0" applyAlignment="1" applyFont="1">
      <alignment horizontal="center" shrinkToFit="0" vertical="bottom" wrapText="1"/>
    </xf>
    <xf borderId="101" fillId="0" fontId="1" numFmtId="0" xfId="0" applyBorder="1" applyFont="1"/>
    <xf borderId="12" fillId="2" fontId="40" numFmtId="2" xfId="0" applyAlignment="1" applyBorder="1" applyFont="1" applyNumberFormat="1">
      <alignment horizontal="center" shrinkToFit="0" vertical="bottom" wrapText="1"/>
    </xf>
    <xf borderId="102" fillId="193" fontId="39" numFmtId="2" xfId="0" applyAlignment="1" applyBorder="1" applyFont="1" applyNumberFormat="1">
      <alignment horizontal="center"/>
    </xf>
    <xf borderId="12" fillId="2" fontId="40" numFmtId="2" xfId="0" applyAlignment="1" applyBorder="1" applyFont="1" applyNumberFormat="1">
      <alignment horizontal="center" shrinkToFit="0" wrapText="1"/>
    </xf>
    <xf borderId="12" fillId="193" fontId="39" numFmtId="2" xfId="0" applyAlignment="1" applyBorder="1" applyFont="1" applyNumberFormat="1">
      <alignment horizontal="center"/>
    </xf>
    <xf borderId="102" fillId="194" fontId="39" numFmtId="2" xfId="0" applyAlignment="1" applyBorder="1" applyFont="1" applyNumberFormat="1">
      <alignment horizontal="center"/>
    </xf>
    <xf borderId="12" fillId="194" fontId="39" numFmtId="2" xfId="0" applyAlignment="1" applyBorder="1" applyFont="1" applyNumberFormat="1">
      <alignment horizontal="center"/>
    </xf>
    <xf borderId="102" fillId="178" fontId="39" numFmtId="2" xfId="0" applyAlignment="1" applyBorder="1" applyFont="1" applyNumberFormat="1">
      <alignment horizontal="center"/>
    </xf>
    <xf borderId="103" fillId="0" fontId="1" numFmtId="0" xfId="0" applyBorder="1" applyFont="1"/>
    <xf borderId="104" fillId="0" fontId="1" numFmtId="0" xfId="0" applyBorder="1" applyFont="1"/>
    <xf borderId="13" fillId="171" fontId="18" numFmtId="0" xfId="0" applyAlignment="1" applyBorder="1" applyFont="1">
      <alignment vertical="bottom"/>
    </xf>
    <xf borderId="0" fillId="171" fontId="18" numFmtId="0" xfId="0" applyAlignment="1" applyFont="1">
      <alignment vertical="bottom"/>
    </xf>
    <xf borderId="13" fillId="173" fontId="35" numFmtId="0" xfId="0" applyAlignment="1" applyBorder="1" applyFont="1">
      <alignment horizontal="center" vertical="bottom"/>
    </xf>
    <xf borderId="37" fillId="5" fontId="15" numFmtId="0" xfId="0" applyAlignment="1" applyBorder="1" applyFont="1">
      <alignment horizontal="center" shrinkToFit="0" wrapText="1"/>
    </xf>
    <xf borderId="0" fillId="174" fontId="35" numFmtId="0" xfId="0" applyAlignment="1" applyFont="1">
      <alignment horizontal="center" vertical="bottom"/>
    </xf>
    <xf borderId="37" fillId="172" fontId="36" numFmtId="0" xfId="0" applyAlignment="1" applyBorder="1" applyFont="1">
      <alignment horizontal="center" readingOrder="0" shrinkToFit="0" vertical="center" wrapText="1"/>
    </xf>
    <xf borderId="37" fillId="172" fontId="36" numFmtId="0" xfId="0" applyAlignment="1" applyBorder="1" applyFont="1">
      <alignment horizontal="center" shrinkToFit="0" vertical="center" wrapText="1"/>
    </xf>
    <xf borderId="0" fillId="171" fontId="15" numFmtId="0" xfId="0" applyAlignment="1" applyFont="1">
      <alignment readingOrder="0" vertical="bottom"/>
    </xf>
    <xf borderId="105" fillId="172" fontId="10" numFmtId="2" xfId="0" applyAlignment="1" applyBorder="1" applyFont="1" applyNumberFormat="1">
      <alignment horizontal="center" shrinkToFit="0" vertical="center" wrapText="1"/>
    </xf>
    <xf borderId="106" fillId="172" fontId="10" numFmtId="2" xfId="0" applyAlignment="1" applyBorder="1" applyFont="1" applyNumberFormat="1">
      <alignment horizontal="center" shrinkToFit="0" vertical="center" wrapText="1"/>
    </xf>
    <xf borderId="46" fillId="193" fontId="39" numFmtId="2" xfId="0" applyAlignment="1" applyBorder="1" applyFont="1" applyNumberFormat="1">
      <alignment horizontal="center" vertical="center"/>
    </xf>
    <xf borderId="45" fillId="193" fontId="39" numFmtId="4" xfId="0" applyAlignment="1" applyBorder="1" applyFont="1" applyNumberFormat="1">
      <alignment horizontal="center" vertical="center"/>
    </xf>
    <xf borderId="46" fillId="194" fontId="39" numFmtId="2" xfId="0" applyAlignment="1" applyBorder="1" applyFont="1" applyNumberFormat="1">
      <alignment horizontal="center" vertical="center"/>
    </xf>
    <xf borderId="41" fillId="194" fontId="39" numFmtId="4" xfId="0" applyAlignment="1" applyBorder="1" applyFont="1" applyNumberFormat="1">
      <alignment horizontal="center" vertical="center"/>
    </xf>
    <xf borderId="45" fillId="194" fontId="39" numFmtId="4" xfId="0" applyAlignment="1" applyBorder="1" applyFont="1" applyNumberFormat="1">
      <alignment horizontal="center" vertical="center"/>
    </xf>
    <xf borderId="45" fillId="178" fontId="39" numFmtId="4" xfId="0" applyAlignment="1" applyBorder="1" applyFont="1" applyNumberFormat="1">
      <alignment horizontal="center" vertical="center"/>
    </xf>
    <xf borderId="46" fillId="188" fontId="39" numFmtId="2" xfId="0" applyAlignment="1" applyBorder="1" applyFont="1" applyNumberFormat="1">
      <alignment horizontal="center" vertical="center"/>
    </xf>
    <xf borderId="45" fillId="196" fontId="39" numFmtId="4" xfId="0" applyAlignment="1" applyBorder="1" applyFont="1" applyNumberFormat="1">
      <alignment horizontal="center" vertical="center"/>
    </xf>
    <xf borderId="45" fillId="188" fontId="39" numFmtId="4" xfId="0" applyAlignment="1" applyBorder="1" applyFont="1" applyNumberFormat="1">
      <alignment horizontal="center" vertical="center"/>
    </xf>
    <xf borderId="41" fillId="193" fontId="39" numFmtId="4" xfId="0" applyAlignment="1" applyBorder="1" applyFont="1" applyNumberFormat="1">
      <alignment horizontal="center" vertical="center"/>
    </xf>
    <xf borderId="41" fillId="196" fontId="39" numFmtId="4" xfId="0" applyAlignment="1" applyBorder="1" applyFont="1" applyNumberFormat="1">
      <alignment horizontal="center" vertical="center"/>
    </xf>
    <xf borderId="41" fillId="178" fontId="39" numFmtId="4" xfId="0" applyAlignment="1" applyBorder="1" applyFont="1" applyNumberFormat="1">
      <alignment horizontal="center" vertical="center"/>
    </xf>
    <xf borderId="45" fillId="195" fontId="39" numFmtId="4" xfId="0" applyAlignment="1" applyBorder="1" applyFont="1" applyNumberFormat="1">
      <alignment horizontal="center" vertical="center"/>
    </xf>
    <xf borderId="41" fillId="195" fontId="39" numFmtId="4" xfId="0" applyAlignment="1" applyBorder="1" applyFont="1" applyNumberFormat="1">
      <alignment horizontal="center" vertical="center"/>
    </xf>
    <xf borderId="41" fillId="188" fontId="39" numFmtId="4" xfId="0" applyAlignment="1" applyBorder="1" applyFont="1" applyNumberFormat="1">
      <alignment horizontal="center" vertical="center"/>
    </xf>
    <xf borderId="45" fillId="195" fontId="43" numFmtId="4" xfId="0" applyAlignment="1" applyBorder="1" applyFont="1" applyNumberFormat="1">
      <alignment horizontal="center" vertical="center"/>
    </xf>
    <xf borderId="46" fillId="195" fontId="39" numFmtId="2" xfId="0" applyAlignment="1" applyBorder="1" applyFont="1" applyNumberFormat="1">
      <alignment horizontal="center" vertical="center"/>
    </xf>
    <xf borderId="46" fillId="195" fontId="43" numFmtId="2" xfId="0" applyAlignment="1" applyBorder="1" applyFont="1" applyNumberFormat="1">
      <alignment horizontal="center" vertical="center"/>
    </xf>
    <xf borderId="0" fillId="191" fontId="37" numFmtId="0" xfId="0" applyAlignment="1" applyFont="1">
      <alignment horizontal="center" shrinkToFit="0" vertical="center" wrapText="1"/>
    </xf>
    <xf borderId="0" fillId="171" fontId="18" numFmtId="0" xfId="0" applyAlignment="1" applyFont="1">
      <alignment vertical="center"/>
    </xf>
    <xf borderId="11" fillId="2" fontId="40" numFmtId="2" xfId="0" applyAlignment="1" applyBorder="1" applyFont="1" applyNumberFormat="1">
      <alignment horizontal="center" shrinkToFit="0" vertical="center" wrapText="1"/>
    </xf>
    <xf borderId="76" fillId="194" fontId="39" numFmtId="2" xfId="0" applyAlignment="1" applyBorder="1" applyFont="1" applyNumberFormat="1">
      <alignment horizontal="center" vertical="center"/>
    </xf>
    <xf borderId="11" fillId="194" fontId="39" numFmtId="2" xfId="0" applyAlignment="1" applyBorder="1" applyFont="1" applyNumberFormat="1">
      <alignment horizontal="center" vertical="center"/>
    </xf>
    <xf borderId="76" fillId="188" fontId="39" numFmtId="2" xfId="0" applyAlignment="1" applyBorder="1" applyFont="1" applyNumberFormat="1">
      <alignment horizontal="center" vertical="center"/>
    </xf>
    <xf borderId="11" fillId="193" fontId="39" numFmtId="2" xfId="0" applyAlignment="1" applyBorder="1" applyFont="1" applyNumberFormat="1">
      <alignment horizontal="center" vertical="center"/>
    </xf>
    <xf borderId="76" fillId="193" fontId="39" numFmtId="2" xfId="0" applyAlignment="1" applyBorder="1" applyFont="1" applyNumberFormat="1">
      <alignment horizontal="center" vertical="center"/>
    </xf>
    <xf borderId="0" fillId="178" fontId="39" numFmtId="2" xfId="0" applyAlignment="1" applyFont="1" applyNumberFormat="1">
      <alignment horizontal="center" vertical="center"/>
    </xf>
    <xf borderId="11" fillId="2" fontId="44" numFmtId="2" xfId="0" applyAlignment="1" applyBorder="1" applyFont="1" applyNumberFormat="1">
      <alignment horizontal="center" shrinkToFit="0" vertical="center" wrapText="1"/>
    </xf>
    <xf borderId="107" fillId="0" fontId="1" numFmtId="0" xfId="0" applyBorder="1" applyFont="1"/>
    <xf borderId="108" fillId="0" fontId="1" numFmtId="0" xfId="0" applyBorder="1" applyFont="1"/>
    <xf borderId="95" fillId="0" fontId="1" numFmtId="0" xfId="0" applyBorder="1" applyFont="1"/>
    <xf borderId="16" fillId="171" fontId="18" numFmtId="0" xfId="0" applyAlignment="1" applyBorder="1" applyFont="1">
      <alignment vertical="bottom"/>
    </xf>
    <xf borderId="37" fillId="5" fontId="15" numFmtId="0" xfId="0" applyAlignment="1" applyBorder="1" applyFont="1">
      <alignment horizontal="left" readingOrder="0" shrinkToFit="0" vertical="center" wrapText="1"/>
    </xf>
    <xf borderId="0" fillId="171" fontId="8" numFmtId="0" xfId="0" applyAlignment="1" applyFont="1">
      <alignment textRotation="90" vertical="bottom"/>
    </xf>
    <xf borderId="0" fillId="171" fontId="8" numFmtId="0" xfId="0" applyAlignment="1" applyFont="1">
      <alignment vertical="bottom"/>
    </xf>
    <xf borderId="37" fillId="172" fontId="17" numFmtId="0" xfId="0" applyAlignment="1" applyBorder="1" applyFont="1">
      <alignment horizontal="center" readingOrder="0" shrinkToFit="0" vertical="center" wrapText="1"/>
    </xf>
    <xf borderId="0" fillId="172" fontId="8" numFmtId="0" xfId="0" applyFont="1"/>
    <xf borderId="0" fillId="171" fontId="9" numFmtId="0" xfId="0" applyAlignment="1" applyFont="1">
      <alignment readingOrder="0" vertical="bottom"/>
    </xf>
    <xf borderId="109" fillId="172" fontId="9" numFmtId="2" xfId="0" applyAlignment="1" applyBorder="1" applyFont="1" applyNumberFormat="1">
      <alignment horizontal="center" shrinkToFit="0" vertical="center" wrapText="1"/>
    </xf>
    <xf borderId="36" fillId="172" fontId="9" numFmtId="2" xfId="0" applyAlignment="1" applyBorder="1" applyFont="1" applyNumberFormat="1">
      <alignment horizontal="center" shrinkToFit="0" vertical="center" wrapText="1"/>
    </xf>
    <xf borderId="12" fillId="175" fontId="45" numFmtId="0" xfId="0" applyAlignment="1" applyBorder="1" applyFont="1">
      <alignment horizontal="center" shrinkToFit="0" textRotation="90" vertical="center" wrapText="1"/>
    </xf>
    <xf borderId="13" fillId="176" fontId="32" numFmtId="0" xfId="0" applyAlignment="1" applyBorder="1" applyFont="1">
      <alignment horizontal="center" shrinkToFit="0" vertical="center" wrapText="1"/>
    </xf>
    <xf borderId="45" fillId="8" fontId="30" numFmtId="4" xfId="0" applyAlignment="1" applyBorder="1" applyFont="1" applyNumberFormat="1">
      <alignment horizontal="center" readingOrder="0" vertical="center"/>
    </xf>
    <xf borderId="13" fillId="8" fontId="30" numFmtId="4" xfId="0" applyAlignment="1" applyBorder="1" applyFont="1" applyNumberFormat="1">
      <alignment horizontal="center" readingOrder="0" vertical="center"/>
    </xf>
    <xf borderId="21" fillId="8" fontId="30" numFmtId="2" xfId="0" applyAlignment="1" applyBorder="1" applyFont="1" applyNumberFormat="1">
      <alignment horizontal="center" vertical="center"/>
    </xf>
    <xf borderId="39" fillId="8" fontId="30" numFmtId="4" xfId="0" applyAlignment="1" applyBorder="1" applyFont="1" applyNumberFormat="1">
      <alignment horizontal="center" readingOrder="0" vertical="center"/>
    </xf>
    <xf borderId="13" fillId="2" fontId="30" numFmtId="4" xfId="0" applyAlignment="1" applyBorder="1" applyFont="1" applyNumberFormat="1">
      <alignment horizontal="center" readingOrder="0" vertical="center"/>
    </xf>
    <xf borderId="14" fillId="8" fontId="30" numFmtId="4" xfId="0" applyAlignment="1" applyBorder="1" applyFont="1" applyNumberFormat="1">
      <alignment horizontal="center" readingOrder="0" vertical="center"/>
    </xf>
    <xf borderId="39" fillId="196" fontId="30" numFmtId="4" xfId="0" applyAlignment="1" applyBorder="1" applyFont="1" applyNumberFormat="1">
      <alignment horizontal="center" readingOrder="0" vertical="center"/>
    </xf>
    <xf borderId="13" fillId="196" fontId="30" numFmtId="4" xfId="0" applyAlignment="1" applyBorder="1" applyFont="1" applyNumberFormat="1">
      <alignment horizontal="center" readingOrder="0" vertical="center"/>
    </xf>
    <xf borderId="110" fillId="178" fontId="30" numFmtId="2" xfId="0" applyAlignment="1" applyBorder="1" applyFont="1" applyNumberFormat="1">
      <alignment horizontal="center" vertical="center"/>
    </xf>
    <xf borderId="39" fillId="178" fontId="30" numFmtId="4" xfId="0" applyAlignment="1" applyBorder="1" applyFont="1" applyNumberFormat="1">
      <alignment horizontal="center" vertical="center"/>
    </xf>
    <xf borderId="111" fillId="178" fontId="30" numFmtId="2" xfId="0" applyAlignment="1" applyBorder="1" applyFont="1" applyNumberFormat="1">
      <alignment horizontal="center" vertical="center"/>
    </xf>
    <xf borderId="112" fillId="0" fontId="1" numFmtId="0" xfId="0" applyBorder="1" applyFont="1"/>
    <xf borderId="113" fillId="0" fontId="1" numFmtId="0" xfId="0" applyBorder="1" applyFont="1"/>
    <xf borderId="42" fillId="178" fontId="30" numFmtId="4" xfId="0" applyAlignment="1" applyBorder="1" applyFont="1" applyNumberFormat="1">
      <alignment horizontal="center" vertical="center"/>
    </xf>
    <xf borderId="11" fillId="0" fontId="1" numFmtId="0" xfId="0" applyBorder="1" applyFont="1"/>
    <xf borderId="42" fillId="188" fontId="30" numFmtId="4" xfId="0" applyAlignment="1" applyBorder="1" applyFont="1" applyNumberFormat="1">
      <alignment horizontal="center" vertical="center"/>
    </xf>
    <xf borderId="42" fillId="196" fontId="30" numFmtId="4" xfId="0" applyAlignment="1" applyBorder="1" applyFont="1" applyNumberFormat="1">
      <alignment horizontal="center" vertical="center"/>
    </xf>
    <xf borderId="42" fillId="194" fontId="30" numFmtId="4" xfId="0" applyAlignment="1" applyBorder="1" applyFont="1" applyNumberFormat="1">
      <alignment horizontal="center" vertical="center"/>
    </xf>
    <xf borderId="42" fillId="193" fontId="30" numFmtId="4" xfId="0" applyAlignment="1" applyBorder="1" applyFont="1" applyNumberFormat="1">
      <alignment horizontal="center" vertical="center"/>
    </xf>
    <xf borderId="20" fillId="0" fontId="1" numFmtId="0" xfId="0" applyBorder="1" applyFont="1"/>
    <xf borderId="114" fillId="0" fontId="1" numFmtId="0" xfId="0" applyBorder="1" applyFont="1"/>
    <xf borderId="12" fillId="179" fontId="45" numFmtId="0" xfId="0" applyAlignment="1" applyBorder="1" applyFont="1">
      <alignment horizontal="center" shrinkToFit="0" textRotation="90" vertical="center" wrapText="1"/>
    </xf>
    <xf borderId="13" fillId="180" fontId="32" numFmtId="0" xfId="0" applyAlignment="1" applyBorder="1" applyFont="1">
      <alignment horizontal="center" shrinkToFit="0" vertical="center" wrapText="1"/>
    </xf>
    <xf borderId="113" fillId="194" fontId="30" numFmtId="2" xfId="0" applyAlignment="1" applyBorder="1" applyFont="1" applyNumberFormat="1">
      <alignment horizontal="center" vertical="center"/>
    </xf>
    <xf borderId="11" fillId="194" fontId="30" numFmtId="2" xfId="0" applyAlignment="1" applyBorder="1" applyFont="1" applyNumberFormat="1">
      <alignment horizontal="center" vertical="center"/>
    </xf>
    <xf borderId="42" fillId="195" fontId="30" numFmtId="4" xfId="0" applyAlignment="1" applyBorder="1" applyFont="1" applyNumberFormat="1">
      <alignment horizontal="center" vertical="center"/>
    </xf>
    <xf borderId="12" fillId="182" fontId="45" numFmtId="0" xfId="0" applyAlignment="1" applyBorder="1" applyFont="1">
      <alignment horizontal="center" shrinkToFit="0" textRotation="90" vertical="center" wrapText="1"/>
    </xf>
    <xf borderId="13" fillId="183" fontId="32" numFmtId="0" xfId="0" applyAlignment="1" applyBorder="1" applyFont="1">
      <alignment horizontal="center" shrinkToFit="0" vertical="center" wrapText="1"/>
    </xf>
    <xf borderId="15" fillId="8" fontId="30" numFmtId="2" xfId="0" applyAlignment="1" applyBorder="1" applyFont="1" applyNumberFormat="1">
      <alignment horizontal="center" vertical="center"/>
    </xf>
    <xf borderId="12" fillId="185" fontId="45" numFmtId="0" xfId="0" applyAlignment="1" applyBorder="1" applyFont="1">
      <alignment horizontal="center" shrinkToFit="0" textRotation="90" vertical="center" wrapText="1"/>
    </xf>
    <xf borderId="13" fillId="186" fontId="32" numFmtId="0" xfId="0" applyAlignment="1" applyBorder="1" applyFont="1">
      <alignment horizontal="center" shrinkToFit="0" vertical="center" wrapText="1"/>
    </xf>
    <xf borderId="113" fillId="195" fontId="30" numFmtId="2" xfId="0" applyAlignment="1" applyBorder="1" applyFont="1" applyNumberFormat="1">
      <alignment horizontal="center" vertical="center"/>
    </xf>
    <xf borderId="11" fillId="193" fontId="30" numFmtId="2" xfId="0" applyAlignment="1" applyBorder="1" applyFont="1" applyNumberFormat="1">
      <alignment horizontal="center" vertical="center"/>
    </xf>
    <xf borderId="12" fillId="187" fontId="45" numFmtId="0" xfId="0" applyAlignment="1" applyBorder="1" applyFont="1">
      <alignment horizontal="center" shrinkToFit="0" textRotation="90" vertical="center" wrapText="1"/>
    </xf>
    <xf borderId="13" fillId="188" fontId="32" numFmtId="0" xfId="0" applyAlignment="1" applyBorder="1" applyFont="1">
      <alignment horizontal="center" shrinkToFit="0" vertical="center" wrapText="1"/>
    </xf>
    <xf borderId="12" fillId="190" fontId="45" numFmtId="0" xfId="0" applyAlignment="1" applyBorder="1" applyFont="1">
      <alignment horizontal="center" shrinkToFit="0" textRotation="90" vertical="center" wrapText="1"/>
    </xf>
    <xf borderId="13" fillId="191" fontId="32" numFmtId="0" xfId="0" applyAlignment="1" applyBorder="1" applyFont="1">
      <alignment horizontal="center" shrinkToFit="0" vertical="center" wrapText="1"/>
    </xf>
    <xf borderId="13" fillId="191" fontId="32" numFmtId="0" xfId="0" applyAlignment="1" applyBorder="1" applyFont="1">
      <alignment horizontal="center" shrinkToFit="0" vertical="center" wrapText="1"/>
    </xf>
    <xf borderId="46" fillId="8" fontId="30" numFmtId="2" xfId="0" applyAlignment="1" applyBorder="1" applyFont="1" applyNumberFormat="1">
      <alignment horizontal="center" readingOrder="0" vertical="center"/>
    </xf>
    <xf borderId="13" fillId="8" fontId="30" numFmtId="2" xfId="0" applyAlignment="1" applyBorder="1" applyFont="1" applyNumberFormat="1">
      <alignment horizontal="center" readingOrder="0" vertical="center"/>
    </xf>
    <xf borderId="12" fillId="178" fontId="30" numFmtId="2" xfId="0" applyAlignment="1" applyBorder="1" applyFont="1" applyNumberFormat="1">
      <alignment horizontal="center" readingOrder="0" vertical="center"/>
    </xf>
    <xf borderId="0" fillId="171" fontId="8" numFmtId="0" xfId="0" applyAlignment="1" applyFont="1">
      <alignment textRotation="90" vertical="center"/>
    </xf>
    <xf borderId="0" fillId="171" fontId="8" numFmtId="0" xfId="0" applyAlignment="1" applyFont="1">
      <alignment vertical="center"/>
    </xf>
    <xf borderId="12" fillId="2" fontId="13" numFmtId="2" xfId="0" applyAlignment="1" applyBorder="1" applyFont="1" applyNumberFormat="1">
      <alignment horizontal="center" shrinkToFit="0" vertical="center" wrapText="1"/>
    </xf>
    <xf borderId="15" fillId="2" fontId="13" numFmtId="2" xfId="0" applyAlignment="1" applyBorder="1" applyFont="1" applyNumberFormat="1">
      <alignment horizontal="center" shrinkToFit="0" vertical="center" wrapText="1"/>
    </xf>
    <xf borderId="12" fillId="2" fontId="30" numFmtId="2" xfId="0" applyAlignment="1" applyBorder="1" applyFont="1" applyNumberFormat="1">
      <alignment horizontal="center" vertical="center"/>
    </xf>
    <xf borderId="21" fillId="2" fontId="13" numFmtId="2" xfId="0" applyAlignment="1" applyBorder="1" applyFont="1" applyNumberFormat="1">
      <alignment horizontal="center" shrinkToFit="0" vertical="center" wrapText="1"/>
    </xf>
    <xf borderId="75" fillId="2" fontId="13" numFmtId="2" xfId="0" applyAlignment="1" applyBorder="1" applyFont="1" applyNumberFormat="1">
      <alignment horizontal="center" shrinkToFit="0" vertical="center" wrapText="1"/>
    </xf>
    <xf borderId="115" fillId="8" fontId="30" numFmtId="2" xfId="0" applyAlignment="1" applyBorder="1" applyFont="1" applyNumberFormat="1">
      <alignment horizontal="center" vertical="center"/>
    </xf>
    <xf borderId="113" fillId="2" fontId="13" numFmtId="2" xfId="0" applyAlignment="1" applyBorder="1" applyFont="1" applyNumberFormat="1">
      <alignment horizontal="center" shrinkToFit="0" vertical="center" wrapText="1"/>
    </xf>
    <xf borderId="11" fillId="2" fontId="13" numFmtId="2" xfId="0" applyAlignment="1" applyBorder="1" applyFont="1" applyNumberFormat="1">
      <alignment horizontal="center" shrinkToFit="0" vertical="center" wrapText="1"/>
    </xf>
    <xf borderId="116" fillId="0" fontId="1" numFmtId="0" xfId="0" applyBorder="1" applyFont="1"/>
    <xf borderId="13" fillId="173" fontId="31" numFmtId="0" xfId="0" applyAlignment="1" applyBorder="1" applyFont="1">
      <alignment horizontal="center" vertical="center"/>
    </xf>
    <xf borderId="40" fillId="5" fontId="9" numFmtId="0" xfId="0" applyAlignment="1" applyBorder="1" applyFont="1">
      <alignment horizontal="left" readingOrder="0" shrinkToFit="0" vertical="center" wrapText="1"/>
    </xf>
    <xf borderId="27" fillId="5" fontId="9" numFmtId="0" xfId="0" applyAlignment="1" applyBorder="1" applyFont="1">
      <alignment horizontal="left" readingOrder="0" shrinkToFit="0" textRotation="0" vertical="center" wrapText="1"/>
    </xf>
    <xf borderId="28" fillId="5" fontId="9" numFmtId="0" xfId="0" applyAlignment="1" applyBorder="1" applyFont="1">
      <alignment horizontal="left" readingOrder="0" shrinkToFit="0" textRotation="0" vertical="center" wrapText="1"/>
    </xf>
    <xf borderId="41" fillId="5" fontId="9" numFmtId="0" xfId="0" applyAlignment="1" applyBorder="1" applyFont="1">
      <alignment horizontal="left" readingOrder="0" shrinkToFit="0" vertical="center" wrapText="1"/>
    </xf>
    <xf borderId="0" fillId="5" fontId="9" numFmtId="0" xfId="0" applyAlignment="1" applyFont="1">
      <alignment horizontal="left" readingOrder="0" shrinkToFit="0" vertical="center" wrapText="1"/>
    </xf>
    <xf borderId="0" fillId="174" fontId="31" numFmtId="0" xfId="0" applyAlignment="1" applyFont="1">
      <alignment horizontal="center" vertical="center"/>
    </xf>
    <xf borderId="37" fillId="5" fontId="9" numFmtId="0" xfId="0" applyAlignment="1" applyBorder="1" applyFont="1">
      <alignment horizontal="left" readingOrder="0" shrinkToFit="0" vertical="center" wrapText="1"/>
    </xf>
    <xf borderId="38" fillId="5" fontId="9" numFmtId="0" xfId="0" applyAlignment="1" applyBorder="1" applyFont="1">
      <alignment horizontal="left" readingOrder="0" shrinkToFit="0" vertical="center" wrapText="1"/>
    </xf>
    <xf borderId="0" fillId="3" fontId="8" numFmtId="0" xfId="0" applyAlignment="1" applyFont="1">
      <alignment textRotation="90" vertical="bottom"/>
    </xf>
    <xf borderId="0" fillId="3" fontId="8" numFmtId="0" xfId="0" applyAlignment="1" applyFont="1">
      <alignment vertical="bottom"/>
    </xf>
    <xf borderId="38" fillId="2" fontId="17" numFmtId="0" xfId="0" applyAlignment="1" applyBorder="1" applyFont="1">
      <alignment horizontal="center" readingOrder="0" shrinkToFit="0" vertical="center" wrapText="1"/>
    </xf>
    <xf borderId="0" fillId="2" fontId="17" numFmtId="0" xfId="0" applyAlignment="1" applyFont="1">
      <alignment horizontal="center" readingOrder="0" shrinkToFit="0" vertical="center" wrapText="1"/>
    </xf>
    <xf borderId="0" fillId="3" fontId="46" numFmtId="0" xfId="0" applyAlignment="1" applyFont="1">
      <alignment readingOrder="0" vertical="bottom"/>
    </xf>
    <xf borderId="36" fillId="4" fontId="19" numFmtId="2" xfId="0" applyAlignment="1" applyBorder="1" applyFont="1" applyNumberFormat="1">
      <alignment horizontal="center" shrinkToFit="0" vertical="center" wrapText="1"/>
    </xf>
    <xf borderId="109" fillId="4" fontId="19" numFmtId="2" xfId="0" applyAlignment="1" applyBorder="1" applyFont="1" applyNumberFormat="1">
      <alignment horizontal="center" shrinkToFit="0" vertical="center" wrapText="1"/>
    </xf>
    <xf borderId="0" fillId="172" fontId="9" numFmtId="2" xfId="0" applyAlignment="1" applyFont="1" applyNumberFormat="1">
      <alignment horizontal="center" shrinkToFit="0" vertical="center" wrapText="1"/>
    </xf>
    <xf borderId="15" fillId="6" fontId="33" numFmtId="0" xfId="0" applyAlignment="1" applyBorder="1" applyFont="1">
      <alignment horizontal="center" shrinkToFit="0" textRotation="90" vertical="center" wrapText="1"/>
    </xf>
    <xf borderId="12" fillId="8" fontId="30" numFmtId="4" xfId="0" applyAlignment="1" applyBorder="1" applyFont="1" applyNumberFormat="1">
      <alignment horizontal="center" vertical="center"/>
    </xf>
    <xf borderId="12" fillId="8" fontId="21" numFmtId="4" xfId="0" applyAlignment="1" applyBorder="1" applyFont="1" applyNumberFormat="1">
      <alignment horizontal="center" vertical="center"/>
    </xf>
    <xf borderId="41" fillId="8" fontId="21" numFmtId="4" xfId="0" applyAlignment="1" applyBorder="1" applyFont="1" applyNumberFormat="1">
      <alignment horizontal="center" vertical="center"/>
    </xf>
    <xf borderId="117" fillId="5" fontId="22" numFmtId="4" xfId="0" applyAlignment="1" applyBorder="1" applyFont="1" applyNumberFormat="1">
      <alignment horizontal="center" vertical="center"/>
    </xf>
    <xf borderId="118" fillId="5" fontId="22" numFmtId="4" xfId="0" applyAlignment="1" applyBorder="1" applyFont="1" applyNumberFormat="1">
      <alignment horizontal="center" vertical="center"/>
    </xf>
    <xf borderId="116" fillId="5" fontId="22" numFmtId="4" xfId="0" applyAlignment="1" applyBorder="1" applyFont="1" applyNumberFormat="1">
      <alignment horizontal="center" vertical="center"/>
    </xf>
    <xf borderId="20" fillId="5" fontId="22" numFmtId="4" xfId="0" applyAlignment="1" applyBorder="1" applyFont="1" applyNumberFormat="1">
      <alignment horizontal="center" vertical="center"/>
    </xf>
    <xf borderId="0" fillId="8" fontId="21" numFmtId="0" xfId="0" applyAlignment="1" applyFont="1">
      <alignment horizontal="center" readingOrder="0" vertical="center"/>
    </xf>
    <xf borderId="0" fillId="3" fontId="8" numFmtId="0" xfId="0" applyAlignment="1" applyFont="1">
      <alignment textRotation="90" vertical="center"/>
    </xf>
    <xf borderId="0" fillId="3" fontId="8" numFmtId="0" xfId="0" applyAlignment="1" applyFont="1">
      <alignment vertical="center"/>
    </xf>
    <xf borderId="15" fillId="2" fontId="22" numFmtId="0" xfId="0" applyAlignment="1" applyBorder="1" applyFont="1">
      <alignment horizontal="center" shrinkToFit="0" vertical="center" wrapText="1"/>
    </xf>
    <xf borderId="0" fillId="8" fontId="21" numFmtId="2" xfId="0" applyAlignment="1" applyFont="1" applyNumberFormat="1">
      <alignment horizontal="center" vertical="center"/>
    </xf>
    <xf borderId="0" fillId="5" fontId="9" numFmtId="0" xfId="0" applyAlignment="1" applyFont="1">
      <alignment horizontal="left" shrinkToFit="0" vertical="center" wrapText="1"/>
    </xf>
    <xf borderId="39" fillId="7" fontId="8" numFmtId="0" xfId="0" applyAlignment="1" applyBorder="1" applyFont="1">
      <alignment horizontal="center" shrinkToFit="0" vertical="center" wrapText="1"/>
    </xf>
    <xf borderId="42" fillId="7" fontId="8" numFmtId="0" xfId="0" applyAlignment="1" applyBorder="1" applyFont="1">
      <alignment horizontal="center" shrinkToFit="0" vertical="center" wrapText="1"/>
    </xf>
    <xf borderId="42" fillId="22" fontId="8" numFmtId="0" xfId="0" applyAlignment="1" applyBorder="1" applyFont="1">
      <alignment horizontal="center" shrinkToFit="0" vertical="center" wrapText="1"/>
    </xf>
    <xf borderId="42" fillId="35" fontId="8" numFmtId="0" xfId="0" applyAlignment="1" applyBorder="1" applyFont="1">
      <alignment horizontal="center" shrinkToFit="0" vertical="center" wrapText="1"/>
    </xf>
    <xf borderId="42" fillId="45" fontId="8" numFmtId="0" xfId="0" applyAlignment="1" applyBorder="1" applyFont="1">
      <alignment horizontal="center" shrinkToFit="0" vertical="center" wrapText="1"/>
    </xf>
    <xf borderId="42" fillId="54" fontId="8" numFmtId="0" xfId="0" applyAlignment="1" applyBorder="1" applyFont="1">
      <alignment horizontal="center" shrinkToFit="0" vertical="center" wrapText="1"/>
    </xf>
    <xf borderId="42" fillId="65" fontId="8" numFmtId="0" xfId="0" applyAlignment="1" applyBorder="1" applyFont="1">
      <alignment horizontal="center" shrinkToFit="0" vertical="center" wrapText="1"/>
    </xf>
    <xf borderId="16" fillId="64" fontId="33" numFmtId="0" xfId="0" applyAlignment="1" applyBorder="1" applyFont="1">
      <alignment horizontal="center" shrinkToFit="0" textRotation="90" vertical="center" wrapText="1"/>
    </xf>
    <xf borderId="16" fillId="2" fontId="22" numFmtId="2" xfId="0" applyAlignment="1" applyBorder="1" applyFont="1" applyNumberFormat="1">
      <alignment horizontal="center" shrinkToFit="0" vertical="center" wrapText="1"/>
    </xf>
    <xf borderId="16" fillId="8" fontId="21" numFmtId="2" xfId="0" applyAlignment="1" applyBorder="1" applyFont="1" applyNumberFormat="1">
      <alignment horizontal="center" vertical="center"/>
    </xf>
  </cellXfs>
  <cellStyles count="1">
    <cellStyle xfId="0" name="Normal" builtinId="0"/>
  </cellStyles>
  <dxfs count="15">
    <dxf>
      <font/>
      <fill>
        <patternFill patternType="solid">
          <fgColor rgb="FFB7E1CD"/>
          <bgColor rgb="FFB7E1CD"/>
        </patternFill>
      </fill>
      <border/>
    </dxf>
    <dxf>
      <font/>
      <fill>
        <patternFill patternType="solid">
          <fgColor rgb="FF43BC00"/>
          <bgColor rgb="FF43BC00"/>
        </patternFill>
      </fill>
      <border/>
    </dxf>
    <dxf>
      <font>
        <b/>
        <color rgb="FFFFFFFF"/>
      </font>
      <fill>
        <patternFill patternType="solid">
          <fgColor rgb="FF84DA5E"/>
          <bgColor rgb="FF84DA5E"/>
        </patternFill>
      </fill>
      <border/>
    </dxf>
    <dxf>
      <font>
        <b/>
        <color rgb="FFFFFFFF"/>
      </font>
      <fill>
        <patternFill patternType="solid">
          <fgColor rgb="FFAFD7A2"/>
          <bgColor rgb="FFAFD7A2"/>
        </patternFill>
      </fill>
      <border/>
    </dxf>
    <dxf>
      <font>
        <b/>
        <color rgb="FFFFFFFF"/>
      </font>
      <fill>
        <patternFill patternType="solid">
          <fgColor rgb="FFE36C09"/>
          <bgColor rgb="FFE36C09"/>
        </patternFill>
      </fill>
      <border/>
    </dxf>
    <dxf>
      <font>
        <b/>
        <color rgb="FFFFFFFF"/>
      </font>
      <fill>
        <patternFill patternType="solid">
          <fgColor rgb="FFF1C232"/>
          <bgColor rgb="FFF1C232"/>
        </patternFill>
      </fill>
      <border/>
    </dxf>
    <dxf>
      <font>
        <b/>
        <color rgb="FFFFFFFF"/>
      </font>
      <fill>
        <patternFill patternType="solid">
          <fgColor rgb="FFFF0000"/>
          <bgColor rgb="FFFF0000"/>
        </patternFill>
      </fill>
      <border/>
    </dxf>
    <dxf>
      <font/>
      <fill>
        <patternFill patternType="solid">
          <fgColor rgb="FFA61C00"/>
          <bgColor rgb="FFA61C00"/>
        </patternFill>
      </fill>
      <border/>
    </dxf>
    <dxf>
      <font/>
      <fill>
        <patternFill patternType="solid">
          <fgColor rgb="FF000000"/>
          <bgColor rgb="FF000000"/>
        </patternFill>
      </fill>
      <border/>
    </dxf>
    <dxf>
      <font>
        <color rgb="FFFFFFFF"/>
      </font>
      <fill>
        <patternFill patternType="solid">
          <fgColor rgb="FF3D85C6"/>
          <bgColor rgb="FF3D85C6"/>
        </patternFill>
      </fill>
      <border/>
    </dxf>
    <dxf>
      <font/>
      <fill>
        <patternFill patternType="solid">
          <fgColor rgb="FFF1C232"/>
          <bgColor rgb="FFF1C232"/>
        </patternFill>
      </fill>
      <border/>
    </dxf>
    <dxf>
      <font/>
      <fill>
        <patternFill patternType="solid">
          <fgColor rgb="FF3D85C6"/>
          <bgColor rgb="FF3D85C6"/>
        </patternFill>
      </fill>
      <border/>
    </dxf>
    <dxf>
      <font>
        <b/>
        <color rgb="FFFFFFFF"/>
      </font>
      <fill>
        <patternFill patternType="solid">
          <fgColor rgb="FF00FF00"/>
          <bgColor rgb="FF00FF00"/>
        </patternFill>
      </fill>
      <border/>
    </dxf>
    <dxf>
      <font>
        <color rgb="FFFFFFFF"/>
      </font>
      <fill>
        <patternFill patternType="solid">
          <fgColor rgb="FFFF0000"/>
          <bgColor rgb="FFFF0000"/>
        </patternFill>
      </fill>
      <border/>
    </dxf>
    <dxf>
      <font>
        <color rgb="FFFFFFFF"/>
      </font>
      <fill>
        <patternFill patternType="solid">
          <fgColor rgb="FF000000"/>
          <bgColor rgb="FF000000"/>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152400</xdr:colOff>
      <xdr:row>8</xdr:row>
      <xdr:rowOff>76200</xdr:rowOff>
    </xdr:from>
    <xdr:ext cx="1838325" cy="190500"/>
    <xdr:sp>
      <xdr:nvSpPr>
        <xdr:cNvPr id="3" name="Shape 3"/>
        <xdr:cNvSpPr/>
      </xdr:nvSpPr>
      <xdr:spPr>
        <a:xfrm>
          <a:off x="1800225" y="1590675"/>
          <a:ext cx="1514400" cy="123900"/>
        </a:xfrm>
        <a:prstGeom prst="rect">
          <a:avLst/>
        </a:prstGeom>
        <a:gradFill>
          <a:gsLst>
            <a:gs pos="0">
              <a:srgbClr val="FF0000"/>
            </a:gs>
            <a:gs pos="50000">
              <a:srgbClr val="FF9900"/>
            </a:gs>
            <a:gs pos="100000">
              <a:srgbClr val="00FF00"/>
            </a:gs>
          </a:gsLst>
          <a:lin ang="0" scaled="0"/>
        </a:gra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10</xdr:col>
      <xdr:colOff>19050</xdr:colOff>
      <xdr:row>8</xdr:row>
      <xdr:rowOff>104775</xdr:rowOff>
    </xdr:from>
    <xdr:ext cx="1838325" cy="228600"/>
    <xdr:sp>
      <xdr:nvSpPr>
        <xdr:cNvPr id="4" name="Shape 4"/>
        <xdr:cNvSpPr/>
      </xdr:nvSpPr>
      <xdr:spPr>
        <a:xfrm>
          <a:off x="2228850" y="1247775"/>
          <a:ext cx="1819200" cy="162000"/>
        </a:xfrm>
        <a:prstGeom prst="rect">
          <a:avLst/>
        </a:prstGeom>
        <a:gradFill>
          <a:gsLst>
            <a:gs pos="0">
              <a:srgbClr val="000000"/>
            </a:gs>
            <a:gs pos="36000">
              <a:srgbClr val="000000"/>
            </a:gs>
            <a:gs pos="100000">
              <a:srgbClr val="674EA7"/>
            </a:gs>
          </a:gsLst>
          <a:lin ang="0" scaled="0"/>
        </a:gra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17</xdr:col>
      <xdr:colOff>361950</xdr:colOff>
      <xdr:row>8</xdr:row>
      <xdr:rowOff>104775</xdr:rowOff>
    </xdr:from>
    <xdr:ext cx="1876425" cy="161925"/>
    <xdr:sp>
      <xdr:nvSpPr>
        <xdr:cNvPr id="5" name="Shape 5"/>
        <xdr:cNvSpPr/>
      </xdr:nvSpPr>
      <xdr:spPr>
        <a:xfrm>
          <a:off x="2466975" y="1457325"/>
          <a:ext cx="1857300" cy="142800"/>
        </a:xfrm>
        <a:prstGeom prst="rect">
          <a:avLst/>
        </a:prstGeom>
        <a:gradFill>
          <a:gsLst>
            <a:gs pos="0">
              <a:srgbClr val="980000"/>
            </a:gs>
            <a:gs pos="37000">
              <a:srgbClr val="000000"/>
            </a:gs>
            <a:gs pos="62000">
              <a:srgbClr val="000000"/>
            </a:gs>
            <a:gs pos="100000">
              <a:srgbClr val="073763"/>
            </a:gs>
          </a:gsLst>
          <a:lin ang="0" scaled="0"/>
        </a:gra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8" width="21.57"/>
  </cols>
  <sheetData>
    <row r="1">
      <c r="A1" s="1" t="s">
        <v>0</v>
      </c>
      <c r="B1" s="2" t="s">
        <v>1</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4.43"/>
    <col customWidth="1" min="2" max="8" width="6.57"/>
    <col customWidth="1" min="9" max="9" width="4.43"/>
    <col customWidth="1" min="10" max="16" width="6.57"/>
    <col customWidth="1" min="17" max="17" width="4.43"/>
    <col customWidth="1" min="18" max="24" width="6.57"/>
    <col customWidth="1" min="25" max="25" width="4.43"/>
    <col customWidth="1" min="26" max="32" width="6.57"/>
    <col customWidth="1" min="33" max="33" width="4.43"/>
  </cols>
  <sheetData>
    <row r="1">
      <c r="A1" s="3"/>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row>
    <row r="2" ht="37.5" customHeight="1">
      <c r="A2" s="4"/>
      <c r="B2" s="4"/>
      <c r="C2" s="4"/>
      <c r="D2" s="4"/>
      <c r="E2" s="4"/>
      <c r="F2" s="4"/>
      <c r="G2" s="4"/>
      <c r="H2" s="4"/>
      <c r="I2" s="4"/>
      <c r="J2" s="4"/>
      <c r="K2" s="4"/>
      <c r="L2" s="5" t="s">
        <v>2</v>
      </c>
      <c r="M2" s="6"/>
      <c r="N2" s="6"/>
      <c r="O2" s="6"/>
      <c r="P2" s="6"/>
      <c r="Q2" s="6"/>
      <c r="R2" s="6"/>
      <c r="S2" s="6"/>
      <c r="T2" s="6"/>
      <c r="U2" s="6"/>
      <c r="V2" s="6"/>
      <c r="W2" s="7"/>
      <c r="X2" s="7"/>
      <c r="Y2" s="4"/>
      <c r="Z2" s="4"/>
      <c r="AA2" s="4"/>
      <c r="AB2" s="4"/>
      <c r="AC2" s="4"/>
      <c r="AD2" s="4"/>
      <c r="AE2" s="4"/>
      <c r="AF2" s="4"/>
      <c r="AG2" s="4"/>
    </row>
    <row r="3" ht="65.25" customHeight="1">
      <c r="A3" s="4"/>
      <c r="B3" s="4"/>
      <c r="C3" s="4"/>
      <c r="D3" s="4"/>
      <c r="E3" s="4"/>
      <c r="F3" s="4"/>
      <c r="G3" s="4"/>
      <c r="H3" s="4"/>
      <c r="I3" s="4"/>
      <c r="J3" s="8" t="s">
        <v>3</v>
      </c>
      <c r="K3" s="6"/>
      <c r="L3" s="6"/>
      <c r="M3" s="6"/>
      <c r="N3" s="6"/>
      <c r="O3" s="6"/>
      <c r="P3" s="6"/>
      <c r="Q3" s="6"/>
      <c r="R3" s="6"/>
      <c r="S3" s="6"/>
      <c r="T3" s="6"/>
      <c r="U3" s="6"/>
      <c r="V3" s="6"/>
      <c r="W3" s="6"/>
      <c r="X3" s="9"/>
      <c r="Y3" s="4"/>
      <c r="Z3" s="4"/>
      <c r="AA3" s="4"/>
      <c r="AB3" s="4"/>
      <c r="AC3" s="4"/>
      <c r="AD3" s="4"/>
      <c r="AE3" s="4"/>
      <c r="AF3" s="4"/>
      <c r="AG3" s="4"/>
    </row>
    <row r="4">
      <c r="A4" s="4"/>
      <c r="B4" s="4"/>
      <c r="C4" s="4"/>
      <c r="D4" s="4"/>
      <c r="E4" s="4"/>
      <c r="F4" s="4"/>
      <c r="G4" s="4"/>
      <c r="H4" s="4"/>
      <c r="I4" s="4"/>
      <c r="J4" s="4"/>
      <c r="K4" s="4"/>
      <c r="L4" s="10">
        <v>2025.1</v>
      </c>
      <c r="M4" s="6"/>
      <c r="N4" s="6"/>
      <c r="O4" s="6"/>
      <c r="P4" s="6"/>
      <c r="Q4" s="6"/>
      <c r="R4" s="6"/>
      <c r="S4" s="6"/>
      <c r="T4" s="6"/>
      <c r="U4" s="6"/>
      <c r="V4" s="6"/>
      <c r="W4" s="4"/>
      <c r="X4" s="4"/>
      <c r="Y4" s="4"/>
      <c r="Z4" s="4"/>
      <c r="AA4" s="4"/>
      <c r="AB4" s="4"/>
      <c r="AC4" s="4"/>
      <c r="AD4" s="4"/>
      <c r="AE4" s="4"/>
      <c r="AF4" s="4"/>
      <c r="AG4" s="4"/>
    </row>
    <row r="5" ht="39.0" customHeight="1">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row>
    <row r="6" ht="46.5" customHeight="1">
      <c r="A6" s="4"/>
      <c r="B6" s="11" t="s">
        <v>4</v>
      </c>
      <c r="C6" s="6"/>
      <c r="D6" s="6"/>
      <c r="E6" s="6"/>
      <c r="F6" s="6"/>
      <c r="G6" s="6"/>
      <c r="H6" s="9"/>
      <c r="I6" s="12"/>
      <c r="J6" s="11" t="s">
        <v>5</v>
      </c>
      <c r="K6" s="6"/>
      <c r="L6" s="6"/>
      <c r="M6" s="6"/>
      <c r="N6" s="6"/>
      <c r="O6" s="6"/>
      <c r="P6" s="9"/>
      <c r="Q6" s="12"/>
      <c r="R6" s="11" t="s">
        <v>6</v>
      </c>
      <c r="S6" s="6"/>
      <c r="T6" s="6"/>
      <c r="U6" s="6"/>
      <c r="V6" s="6"/>
      <c r="W6" s="6"/>
      <c r="X6" s="9"/>
      <c r="Y6" s="12"/>
      <c r="Z6" s="13" t="s">
        <v>7</v>
      </c>
      <c r="AA6" s="6"/>
      <c r="AB6" s="6"/>
      <c r="AC6" s="6"/>
      <c r="AD6" s="6"/>
      <c r="AE6" s="6"/>
      <c r="AF6" s="9"/>
      <c r="AG6" s="4"/>
    </row>
    <row r="7">
      <c r="A7" s="4"/>
      <c r="B7" s="14"/>
      <c r="C7" s="15"/>
      <c r="D7" s="15"/>
      <c r="E7" s="15"/>
      <c r="F7" s="15"/>
      <c r="G7" s="15"/>
      <c r="H7" s="15"/>
      <c r="I7" s="4"/>
      <c r="J7" s="15"/>
      <c r="K7" s="15"/>
      <c r="L7" s="15"/>
      <c r="M7" s="15"/>
      <c r="N7" s="15"/>
      <c r="O7" s="15"/>
      <c r="P7" s="15"/>
      <c r="Q7" s="4"/>
      <c r="R7" s="15"/>
      <c r="S7" s="15"/>
      <c r="T7" s="15"/>
      <c r="U7" s="15"/>
      <c r="V7" s="15"/>
      <c r="W7" s="15"/>
      <c r="X7" s="15"/>
      <c r="Y7" s="4"/>
      <c r="Z7" s="16"/>
      <c r="AA7" s="17" t="s">
        <v>8</v>
      </c>
      <c r="AF7" s="18"/>
      <c r="AG7" s="4"/>
    </row>
    <row r="8">
      <c r="A8" s="4"/>
      <c r="B8" s="14"/>
      <c r="C8" s="19" t="s">
        <v>9</v>
      </c>
      <c r="D8" s="6"/>
      <c r="E8" s="6"/>
      <c r="F8" s="6"/>
      <c r="G8" s="9"/>
      <c r="H8" s="15"/>
      <c r="I8" s="4"/>
      <c r="J8" s="15"/>
      <c r="K8" s="20" t="s">
        <v>10</v>
      </c>
      <c r="L8" s="6"/>
      <c r="M8" s="6"/>
      <c r="N8" s="6"/>
      <c r="O8" s="9"/>
      <c r="P8" s="15"/>
      <c r="Q8" s="4"/>
      <c r="R8" s="15"/>
      <c r="S8" s="19" t="s">
        <v>11</v>
      </c>
      <c r="T8" s="6"/>
      <c r="U8" s="6"/>
      <c r="V8" s="6"/>
      <c r="W8" s="9"/>
      <c r="X8" s="15"/>
      <c r="Y8" s="4"/>
      <c r="Z8" s="16"/>
      <c r="AF8" s="18"/>
      <c r="AG8" s="4"/>
    </row>
    <row r="9">
      <c r="A9" s="4"/>
      <c r="B9" s="14"/>
      <c r="C9" s="15"/>
      <c r="D9" s="15"/>
      <c r="E9" s="15"/>
      <c r="F9" s="15"/>
      <c r="G9" s="15"/>
      <c r="H9" s="15"/>
      <c r="I9" s="4"/>
      <c r="J9" s="15"/>
      <c r="K9" s="15"/>
      <c r="L9" s="15"/>
      <c r="M9" s="15"/>
      <c r="N9" s="15"/>
      <c r="O9" s="15"/>
      <c r="P9" s="15"/>
      <c r="Q9" s="4"/>
      <c r="R9" s="15"/>
      <c r="S9" s="15"/>
      <c r="T9" s="15"/>
      <c r="U9" s="15"/>
      <c r="V9" s="15"/>
      <c r="W9" s="15"/>
      <c r="X9" s="15"/>
      <c r="Y9" s="4"/>
      <c r="Z9" s="16"/>
      <c r="AF9" s="18"/>
      <c r="AG9" s="4"/>
    </row>
    <row r="10">
      <c r="A10" s="4"/>
      <c r="B10" s="14"/>
      <c r="C10" s="15"/>
      <c r="D10" s="15"/>
      <c r="E10" s="15"/>
      <c r="F10" s="15"/>
      <c r="G10" s="15"/>
      <c r="H10" s="15"/>
      <c r="I10" s="4"/>
      <c r="J10" s="15"/>
      <c r="K10" s="15"/>
      <c r="L10" s="15"/>
      <c r="M10" s="15"/>
      <c r="N10" s="15"/>
      <c r="O10" s="15"/>
      <c r="P10" s="15"/>
      <c r="Q10" s="4"/>
      <c r="R10" s="15"/>
      <c r="S10" s="15"/>
      <c r="T10" s="15"/>
      <c r="U10" s="15"/>
      <c r="V10" s="15"/>
      <c r="W10" s="15"/>
      <c r="X10" s="15"/>
      <c r="Y10" s="4"/>
      <c r="Z10" s="16"/>
      <c r="AF10" s="18"/>
      <c r="AG10" s="4"/>
    </row>
    <row r="11">
      <c r="A11" s="4"/>
      <c r="B11" s="21"/>
      <c r="C11" s="22">
        <v>2.0</v>
      </c>
      <c r="D11" s="22">
        <v>4.0</v>
      </c>
      <c r="E11" s="22">
        <v>6.0</v>
      </c>
      <c r="F11" s="22">
        <v>8.0</v>
      </c>
      <c r="G11" s="22">
        <v>10.0</v>
      </c>
      <c r="H11" s="23"/>
      <c r="I11" s="4"/>
      <c r="J11" s="23"/>
      <c r="K11" s="22">
        <v>0.0</v>
      </c>
      <c r="L11" s="24">
        <v>0.6</v>
      </c>
      <c r="M11" s="23"/>
      <c r="N11" s="25">
        <v>1.2</v>
      </c>
      <c r="O11" s="22">
        <v>1.8</v>
      </c>
      <c r="P11" s="23"/>
      <c r="Q11" s="4"/>
      <c r="R11" s="23"/>
      <c r="S11" s="22" t="s">
        <v>12</v>
      </c>
      <c r="T11" s="22" t="s">
        <v>13</v>
      </c>
      <c r="U11" s="22">
        <v>0.0</v>
      </c>
      <c r="V11" s="26" t="s">
        <v>14</v>
      </c>
      <c r="W11" s="26" t="s">
        <v>15</v>
      </c>
      <c r="X11" s="23"/>
      <c r="Y11" s="4"/>
      <c r="Z11" s="16"/>
      <c r="AF11" s="18"/>
      <c r="AG11" s="4"/>
    </row>
    <row r="12">
      <c r="A12" s="4"/>
      <c r="B12" s="14"/>
      <c r="C12" s="15"/>
      <c r="D12" s="15"/>
      <c r="E12" s="15"/>
      <c r="F12" s="15"/>
      <c r="G12" s="15"/>
      <c r="H12" s="15"/>
      <c r="I12" s="4"/>
      <c r="J12" s="15"/>
      <c r="K12" s="15"/>
      <c r="L12" s="15"/>
      <c r="M12" s="15"/>
      <c r="N12" s="15"/>
      <c r="O12" s="15"/>
      <c r="P12" s="15"/>
      <c r="Q12" s="4"/>
      <c r="R12" s="15"/>
      <c r="S12" s="15"/>
      <c r="T12" s="15"/>
      <c r="U12" s="15"/>
      <c r="V12" s="27"/>
      <c r="W12" s="28">
        <v>5.0</v>
      </c>
      <c r="X12" s="29"/>
      <c r="Y12" s="4"/>
      <c r="Z12" s="20"/>
      <c r="AF12" s="30"/>
      <c r="AG12" s="4"/>
    </row>
    <row r="13" ht="47.25" customHeight="1">
      <c r="A13" s="4"/>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row>
    <row r="14" ht="95.25" customHeight="1">
      <c r="A14" s="4"/>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row>
    <row r="15" ht="95.25" customHeight="1">
      <c r="A15" s="31"/>
      <c r="B15" s="31"/>
      <c r="C15" s="31"/>
      <c r="D15" s="31"/>
      <c r="E15" s="31"/>
      <c r="F15" s="31"/>
      <c r="G15" s="31"/>
      <c r="H15" s="31"/>
      <c r="I15" s="31"/>
      <c r="J15" s="31"/>
      <c r="K15" s="31"/>
      <c r="L15" s="31"/>
      <c r="M15" s="31"/>
      <c r="N15" s="31"/>
      <c r="O15" s="31"/>
      <c r="P15" s="31"/>
      <c r="Q15" s="31"/>
      <c r="R15" s="31"/>
      <c r="S15" s="31"/>
      <c r="T15" s="31"/>
      <c r="U15" s="31"/>
      <c r="V15" s="31"/>
      <c r="W15" s="31"/>
      <c r="X15" s="31"/>
      <c r="Y15" s="31"/>
      <c r="Z15" s="31"/>
      <c r="AA15" s="31"/>
      <c r="AB15" s="31"/>
      <c r="AC15" s="31"/>
      <c r="AD15" s="31"/>
      <c r="AE15" s="31"/>
      <c r="AF15" s="31"/>
      <c r="AG15" s="31"/>
    </row>
  </sheetData>
  <mergeCells count="11">
    <mergeCell ref="B6:H6"/>
    <mergeCell ref="C8:G8"/>
    <mergeCell ref="K8:O8"/>
    <mergeCell ref="S8:W8"/>
    <mergeCell ref="L2:V2"/>
    <mergeCell ref="J3:X3"/>
    <mergeCell ref="L4:V4"/>
    <mergeCell ref="J6:P6"/>
    <mergeCell ref="R6:X6"/>
    <mergeCell ref="Z6:AF6"/>
    <mergeCell ref="AA7:AE12"/>
  </mergeCells>
  <conditionalFormatting sqref="A1">
    <cfRule type="notContainsBlanks" dxfId="0" priority="1">
      <formula>LEN(TRIM(A1))&gt;0</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24.57"/>
    <col customWidth="1" min="2" max="2" width="7.0"/>
    <col customWidth="1" min="3" max="3" width="26.86"/>
    <col customWidth="1" min="4" max="4" width="24.57"/>
  </cols>
  <sheetData>
    <row r="1" ht="41.25" customHeight="1">
      <c r="A1" s="32"/>
      <c r="B1" s="32"/>
      <c r="C1" s="32"/>
      <c r="D1" s="32"/>
    </row>
    <row r="2" ht="29.25" customHeight="1">
      <c r="A2" s="32"/>
      <c r="B2" s="33" t="s">
        <v>16</v>
      </c>
      <c r="D2" s="32"/>
    </row>
    <row r="3" ht="29.25" customHeight="1">
      <c r="A3" s="32"/>
      <c r="B3" s="34">
        <v>2.0</v>
      </c>
      <c r="C3" s="35" t="s">
        <v>17</v>
      </c>
      <c r="D3" s="32"/>
    </row>
    <row r="4" ht="29.25" customHeight="1">
      <c r="A4" s="32"/>
      <c r="B4" s="34">
        <v>4.0</v>
      </c>
      <c r="C4" s="35" t="s">
        <v>18</v>
      </c>
      <c r="D4" s="32"/>
    </row>
    <row r="5" ht="29.25" customHeight="1">
      <c r="A5" s="32"/>
      <c r="B5" s="34">
        <v>6.0</v>
      </c>
      <c r="C5" s="35" t="s">
        <v>19</v>
      </c>
      <c r="D5" s="32"/>
    </row>
    <row r="6" ht="29.25" customHeight="1">
      <c r="A6" s="32"/>
      <c r="B6" s="34">
        <v>8.0</v>
      </c>
      <c r="C6" s="35" t="s">
        <v>20</v>
      </c>
      <c r="D6" s="32"/>
    </row>
    <row r="7" ht="29.25" customHeight="1">
      <c r="A7" s="32"/>
      <c r="B7" s="34">
        <v>9.0</v>
      </c>
      <c r="C7" s="35" t="s">
        <v>21</v>
      </c>
      <c r="D7" s="32"/>
    </row>
    <row r="8" ht="29.25" customHeight="1">
      <c r="A8" s="32"/>
      <c r="B8" s="34">
        <v>10.0</v>
      </c>
      <c r="C8" s="35" t="s">
        <v>22</v>
      </c>
      <c r="D8" s="32"/>
    </row>
    <row r="9" ht="63.0" customHeight="1">
      <c r="A9" s="32"/>
      <c r="B9" s="36" t="s">
        <v>23</v>
      </c>
      <c r="D9" s="32"/>
    </row>
    <row r="10" ht="41.25" customHeight="1">
      <c r="A10" s="32"/>
      <c r="B10" s="32"/>
      <c r="C10" s="32"/>
      <c r="D10" s="32"/>
    </row>
  </sheetData>
  <mergeCells count="2">
    <mergeCell ref="B2:C2"/>
    <mergeCell ref="B9:C9"/>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4.43" defaultRowHeight="15.0"/>
  <cols>
    <col customWidth="1" min="1" max="1" width="4.43"/>
    <col customWidth="1" min="2" max="2" width="11.57"/>
    <col customWidth="1" min="3" max="3" width="82.86"/>
    <col customWidth="1" min="4" max="4" width="8.71"/>
    <col customWidth="1" min="5" max="6" width="15.0"/>
    <col customWidth="1" min="7" max="7" width="16.29"/>
    <col customWidth="1" min="8" max="11" width="15.0"/>
    <col customWidth="1" min="12" max="12" width="16.29"/>
    <col customWidth="1" min="13" max="13" width="15.0"/>
    <col customWidth="1" min="14" max="14" width="4.43"/>
  </cols>
  <sheetData>
    <row r="1" ht="22.5" customHeight="1">
      <c r="A1" s="37" t="s">
        <v>24</v>
      </c>
      <c r="B1" s="37"/>
      <c r="C1" s="37"/>
      <c r="D1" s="38"/>
      <c r="E1" s="38"/>
      <c r="F1" s="38"/>
      <c r="G1" s="38"/>
      <c r="H1" s="38"/>
      <c r="I1" s="38"/>
      <c r="J1" s="38"/>
      <c r="K1" s="38"/>
      <c r="L1" s="38"/>
      <c r="M1" s="38"/>
      <c r="N1" s="39"/>
    </row>
    <row r="2" ht="21.0" customHeight="1">
      <c r="A2" s="40"/>
      <c r="B2" s="41"/>
      <c r="C2" s="41"/>
      <c r="D2" s="39"/>
      <c r="E2" s="42" t="s">
        <v>25</v>
      </c>
      <c r="F2" s="43"/>
      <c r="G2" s="43"/>
      <c r="H2" s="44"/>
      <c r="I2" s="45"/>
      <c r="J2" s="42" t="s">
        <v>26</v>
      </c>
      <c r="K2" s="43"/>
      <c r="L2" s="43"/>
      <c r="M2" s="44"/>
      <c r="N2" s="46"/>
    </row>
    <row r="3" ht="33.0" customHeight="1">
      <c r="A3" s="39"/>
      <c r="B3" s="47"/>
      <c r="C3" s="41"/>
      <c r="D3" s="39"/>
      <c r="E3" s="48" t="s">
        <v>27</v>
      </c>
      <c r="F3" s="49" t="s">
        <v>4</v>
      </c>
      <c r="G3" s="49" t="s">
        <v>5</v>
      </c>
      <c r="H3" s="50" t="s">
        <v>28</v>
      </c>
      <c r="I3" s="51"/>
      <c r="J3" s="48" t="s">
        <v>27</v>
      </c>
      <c r="K3" s="49" t="s">
        <v>4</v>
      </c>
      <c r="L3" s="49" t="s">
        <v>5</v>
      </c>
      <c r="M3" s="50" t="s">
        <v>28</v>
      </c>
      <c r="N3" s="39"/>
    </row>
    <row r="4" ht="52.5" customHeight="1">
      <c r="A4" s="39"/>
      <c r="B4" s="52" t="s">
        <v>29</v>
      </c>
      <c r="C4" s="53" t="s">
        <v>30</v>
      </c>
      <c r="D4" s="39"/>
      <c r="E4" s="54">
        <f>AVERAGE(F4:F8)</f>
        <v>5.970833333</v>
      </c>
      <c r="F4" s="55">
        <v>6.208333333333333</v>
      </c>
      <c r="G4" s="56">
        <v>1.0206207261596574</v>
      </c>
      <c r="H4" s="57">
        <v>-1.791666666666667</v>
      </c>
      <c r="I4" s="38"/>
      <c r="J4" s="58">
        <f>AVERAGEA(K4:K8)</f>
        <v>6.625</v>
      </c>
      <c r="K4" s="59">
        <v>6.708333333333333</v>
      </c>
      <c r="L4" s="60">
        <v>0.8064504441319253</v>
      </c>
      <c r="M4" s="57">
        <v>-0.29166666666666696</v>
      </c>
      <c r="N4" s="39"/>
    </row>
    <row r="5" ht="52.5" customHeight="1">
      <c r="A5" s="39"/>
      <c r="B5" s="61"/>
      <c r="C5" s="53" t="s">
        <v>31</v>
      </c>
      <c r="D5" s="39"/>
      <c r="E5" s="61"/>
      <c r="F5" s="55">
        <v>5.104166666666667</v>
      </c>
      <c r="G5" s="62">
        <v>1.0212861314630883</v>
      </c>
      <c r="H5" s="57">
        <v>-0.895833333333333</v>
      </c>
      <c r="I5" s="38"/>
      <c r="J5" s="61"/>
      <c r="K5" s="59">
        <v>6.291666666666667</v>
      </c>
      <c r="L5" s="63">
        <v>0.9881544795032398</v>
      </c>
      <c r="M5" s="57">
        <v>0.29166666666666696</v>
      </c>
      <c r="N5" s="39"/>
    </row>
    <row r="6" ht="52.5" customHeight="1">
      <c r="A6" s="39"/>
      <c r="B6" s="61"/>
      <c r="C6" s="53" t="s">
        <v>32</v>
      </c>
      <c r="D6" s="39"/>
      <c r="E6" s="61"/>
      <c r="F6" s="55">
        <v>7.0</v>
      </c>
      <c r="G6" s="64">
        <v>0.9325048082403138</v>
      </c>
      <c r="H6" s="57">
        <v>-2.0</v>
      </c>
      <c r="I6" s="46"/>
      <c r="J6" s="61"/>
      <c r="K6" s="59">
        <v>7.291666666666667</v>
      </c>
      <c r="L6" s="64">
        <v>0.6902530516863499</v>
      </c>
      <c r="M6" s="57">
        <v>-0.708333333333333</v>
      </c>
      <c r="N6" s="39"/>
    </row>
    <row r="7" ht="52.5" customHeight="1">
      <c r="A7" s="39"/>
      <c r="B7" s="61"/>
      <c r="C7" s="53" t="s">
        <v>33</v>
      </c>
      <c r="D7" s="39"/>
      <c r="E7" s="61"/>
      <c r="F7" s="55">
        <v>5.916666666666667</v>
      </c>
      <c r="G7" s="65">
        <v>0.6538625481582945</v>
      </c>
      <c r="H7" s="66">
        <v>-1.083333333333333</v>
      </c>
      <c r="I7" s="46"/>
      <c r="J7" s="61"/>
      <c r="K7" s="59">
        <v>6.541666666666667</v>
      </c>
      <c r="L7" s="67">
        <v>0.7210600087592463</v>
      </c>
      <c r="M7" s="68">
        <v>-1.458333333333333</v>
      </c>
      <c r="N7" s="39"/>
    </row>
    <row r="8" ht="52.5" customHeight="1">
      <c r="A8" s="39"/>
      <c r="B8" s="69"/>
      <c r="C8" s="53" t="s">
        <v>34</v>
      </c>
      <c r="D8" s="39"/>
      <c r="E8" s="70"/>
      <c r="F8" s="71">
        <v>5.625</v>
      </c>
      <c r="G8" s="72">
        <v>0.6468989572333266</v>
      </c>
      <c r="H8" s="73">
        <v>-1.375</v>
      </c>
      <c r="I8" s="46"/>
      <c r="J8" s="70"/>
      <c r="K8" s="74">
        <v>6.291666666666667</v>
      </c>
      <c r="L8" s="75">
        <v>0.8064504441319253</v>
      </c>
      <c r="M8" s="76">
        <v>-0.708333333333333</v>
      </c>
      <c r="N8" s="39"/>
    </row>
    <row r="9" ht="52.5" customHeight="1">
      <c r="A9" s="39"/>
      <c r="B9" s="77" t="s">
        <v>35</v>
      </c>
      <c r="C9" s="78" t="s">
        <v>36</v>
      </c>
      <c r="D9" s="39"/>
      <c r="E9" s="79">
        <f>AVERAGE(F9:F14)</f>
        <v>6.487847222</v>
      </c>
      <c r="F9" s="80">
        <v>6.166666666666667</v>
      </c>
      <c r="G9" s="81">
        <v>0.8681147322824314</v>
      </c>
      <c r="H9" s="81">
        <v>-1.833333333333333</v>
      </c>
      <c r="I9" s="46"/>
      <c r="J9" s="82">
        <f>AVERAGE(K9:K14)</f>
        <v>6.833333333</v>
      </c>
      <c r="K9" s="83">
        <v>6.8125</v>
      </c>
      <c r="L9" s="81">
        <v>0.7042186542853563</v>
      </c>
      <c r="M9" s="81">
        <v>-1.1875</v>
      </c>
      <c r="N9" s="39"/>
    </row>
    <row r="10" ht="52.5" customHeight="1">
      <c r="A10" s="39"/>
      <c r="B10" s="61"/>
      <c r="C10" s="78" t="s">
        <v>37</v>
      </c>
      <c r="D10" s="39"/>
      <c r="E10" s="61"/>
      <c r="F10" s="55">
        <v>6.208333333333333</v>
      </c>
      <c r="G10" s="84">
        <v>0.8329709356935238</v>
      </c>
      <c r="H10" s="85">
        <v>-0.791666666666667</v>
      </c>
      <c r="I10" s="46"/>
      <c r="J10" s="61"/>
      <c r="K10" s="59">
        <v>7.0625</v>
      </c>
      <c r="L10" s="57">
        <v>1.2537985761537684</v>
      </c>
      <c r="M10" s="57">
        <v>-1.9375</v>
      </c>
      <c r="N10" s="39"/>
    </row>
    <row r="11" ht="52.5" customHeight="1">
      <c r="A11" s="39"/>
      <c r="B11" s="61"/>
      <c r="C11" s="78" t="s">
        <v>38</v>
      </c>
      <c r="D11" s="39"/>
      <c r="E11" s="61"/>
      <c r="F11" s="55">
        <v>5.947916666666667</v>
      </c>
      <c r="G11" s="86">
        <v>1.0107551166316702</v>
      </c>
      <c r="H11" s="57">
        <v>-2.052083333333333</v>
      </c>
      <c r="I11" s="46"/>
      <c r="J11" s="61"/>
      <c r="K11" s="59">
        <v>6.166666666666667</v>
      </c>
      <c r="L11" s="87">
        <v>1.1293194051465598</v>
      </c>
      <c r="M11" s="57">
        <v>1.166666666666667</v>
      </c>
      <c r="N11" s="39"/>
    </row>
    <row r="12" ht="52.5" customHeight="1">
      <c r="A12" s="39"/>
      <c r="B12" s="61"/>
      <c r="C12" s="78" t="s">
        <v>39</v>
      </c>
      <c r="D12" s="39"/>
      <c r="E12" s="61"/>
      <c r="F12" s="55">
        <v>6.041666666666667</v>
      </c>
      <c r="G12" s="88">
        <v>1.1220775245117836</v>
      </c>
      <c r="H12" s="57">
        <v>-1.958333333333333</v>
      </c>
      <c r="I12" s="46"/>
      <c r="J12" s="61"/>
      <c r="K12" s="59">
        <v>5.9375</v>
      </c>
      <c r="L12" s="89">
        <v>1.0866032034460098</v>
      </c>
      <c r="M12" s="57">
        <v>-1.0625</v>
      </c>
      <c r="N12" s="39"/>
    </row>
    <row r="13" ht="52.5" customHeight="1">
      <c r="A13" s="39"/>
      <c r="B13" s="61"/>
      <c r="C13" s="78" t="s">
        <v>40</v>
      </c>
      <c r="D13" s="39"/>
      <c r="E13" s="61"/>
      <c r="F13" s="55">
        <v>7.541666666666667</v>
      </c>
      <c r="G13" s="90">
        <v>1.3824731042801415</v>
      </c>
      <c r="H13" s="91">
        <v>-2.458333333333333</v>
      </c>
      <c r="I13" s="46"/>
      <c r="J13" s="61"/>
      <c r="K13" s="59">
        <v>7.5</v>
      </c>
      <c r="L13" s="57">
        <v>1.06321906614239</v>
      </c>
      <c r="M13" s="92">
        <v>-0.5</v>
      </c>
      <c r="N13" s="39"/>
    </row>
    <row r="14" ht="52.5" customHeight="1">
      <c r="A14" s="39"/>
      <c r="B14" s="69"/>
      <c r="C14" s="78" t="s">
        <v>41</v>
      </c>
      <c r="D14" s="39"/>
      <c r="E14" s="70"/>
      <c r="F14" s="55">
        <v>7.020833333333333</v>
      </c>
      <c r="G14" s="93">
        <v>0.9833302628298906</v>
      </c>
      <c r="H14" s="57">
        <v>-0.979166666666667</v>
      </c>
      <c r="I14" s="46"/>
      <c r="J14" s="70"/>
      <c r="K14" s="59">
        <v>7.520833333333333</v>
      </c>
      <c r="L14" s="94">
        <v>0.92641392132415</v>
      </c>
      <c r="M14" s="57">
        <v>0.520833333333333</v>
      </c>
      <c r="N14" s="39"/>
    </row>
    <row r="15" ht="52.5" customHeight="1">
      <c r="A15" s="39"/>
      <c r="B15" s="95" t="s">
        <v>42</v>
      </c>
      <c r="C15" s="96" t="s">
        <v>43</v>
      </c>
      <c r="D15" s="39"/>
      <c r="E15" s="79">
        <f>AVERAGE(F15:F20)</f>
        <v>6.612847222</v>
      </c>
      <c r="F15" s="80">
        <v>6.895833333333333</v>
      </c>
      <c r="G15" s="97">
        <v>0.9552960691378066</v>
      </c>
      <c r="H15" s="98">
        <v>-2.104166666666667</v>
      </c>
      <c r="I15" s="46"/>
      <c r="J15" s="82">
        <f>AVERAGE(K15:K20)</f>
        <v>7.274305556</v>
      </c>
      <c r="K15" s="83">
        <v>7.166666666666667</v>
      </c>
      <c r="L15" s="99">
        <v>1.1293194051465598</v>
      </c>
      <c r="M15" s="100">
        <v>-0.833333333333333</v>
      </c>
      <c r="N15" s="39"/>
    </row>
    <row r="16" ht="52.5" customHeight="1">
      <c r="A16" s="39"/>
      <c r="B16" s="61"/>
      <c r="C16" s="96" t="s">
        <v>44</v>
      </c>
      <c r="D16" s="39"/>
      <c r="E16" s="61"/>
      <c r="F16" s="55">
        <v>6.8125</v>
      </c>
      <c r="G16" s="101">
        <v>1.2752876913277937</v>
      </c>
      <c r="H16" s="57">
        <v>-2.1875</v>
      </c>
      <c r="I16" s="46"/>
      <c r="J16" s="61"/>
      <c r="K16" s="59">
        <v>7.354166666666667</v>
      </c>
      <c r="L16" s="57">
        <v>1.2552426291243515</v>
      </c>
      <c r="M16" s="57">
        <v>-1.645833333333333</v>
      </c>
      <c r="N16" s="39"/>
    </row>
    <row r="17" ht="52.5" customHeight="1">
      <c r="A17" s="39"/>
      <c r="B17" s="61"/>
      <c r="C17" s="96" t="s">
        <v>45</v>
      </c>
      <c r="D17" s="39"/>
      <c r="E17" s="61"/>
      <c r="F17" s="55">
        <v>6.083333333333333</v>
      </c>
      <c r="G17" s="102">
        <v>1.0179547554081032</v>
      </c>
      <c r="H17" s="66">
        <v>-1.916666666666667</v>
      </c>
      <c r="I17" s="46"/>
      <c r="J17" s="61"/>
      <c r="K17" s="59">
        <v>6.770833333333333</v>
      </c>
      <c r="L17" s="103">
        <v>1.0630060602169544</v>
      </c>
      <c r="M17" s="104">
        <v>-2.229166666666667</v>
      </c>
      <c r="N17" s="39"/>
    </row>
    <row r="18" ht="52.5" customHeight="1">
      <c r="A18" s="39"/>
      <c r="B18" s="61"/>
      <c r="C18" s="96" t="s">
        <v>46</v>
      </c>
      <c r="D18" s="39"/>
      <c r="E18" s="61"/>
      <c r="F18" s="55">
        <v>6.520833333333333</v>
      </c>
      <c r="G18" s="102">
        <v>1.0982116556382517</v>
      </c>
      <c r="H18" s="66">
        <v>-1.479166666666667</v>
      </c>
      <c r="I18" s="46"/>
      <c r="J18" s="61"/>
      <c r="K18" s="59">
        <v>7.354166666666667</v>
      </c>
      <c r="L18" s="103">
        <v>1.2201137390554557</v>
      </c>
      <c r="M18" s="104">
        <v>-2.645833333333333</v>
      </c>
      <c r="N18" s="39"/>
    </row>
    <row r="19" ht="52.5" customHeight="1">
      <c r="A19" s="39"/>
      <c r="B19" s="61"/>
      <c r="C19" s="96" t="s">
        <v>47</v>
      </c>
      <c r="D19" s="39"/>
      <c r="E19" s="61"/>
      <c r="F19" s="55">
        <v>7.197916666666667</v>
      </c>
      <c r="G19" s="105">
        <v>1.1771815240563837</v>
      </c>
      <c r="H19" s="57">
        <v>-0.802083333333333</v>
      </c>
      <c r="I19" s="46"/>
      <c r="J19" s="61"/>
      <c r="K19" s="59">
        <v>8.21875</v>
      </c>
      <c r="L19" s="101">
        <v>1.498754011489718</v>
      </c>
      <c r="M19" s="106">
        <v>-0.78125</v>
      </c>
      <c r="N19" s="39"/>
    </row>
    <row r="20" ht="52.5" customHeight="1">
      <c r="A20" s="39"/>
      <c r="B20" s="61"/>
      <c r="C20" s="96" t="s">
        <v>48</v>
      </c>
      <c r="D20" s="39"/>
      <c r="E20" s="70"/>
      <c r="F20" s="54">
        <v>6.166666666666667</v>
      </c>
      <c r="G20" s="107">
        <v>1.2038585308576921</v>
      </c>
      <c r="H20" s="107">
        <v>-1.833333333333333</v>
      </c>
      <c r="I20" s="46"/>
      <c r="J20" s="70"/>
      <c r="K20" s="108">
        <v>6.78125</v>
      </c>
      <c r="L20" s="107">
        <v>1.1499350170675997</v>
      </c>
      <c r="M20" s="107">
        <v>1.78125</v>
      </c>
      <c r="N20" s="39"/>
    </row>
    <row r="21" ht="52.5" customHeight="1">
      <c r="A21" s="39"/>
      <c r="B21" s="109" t="s">
        <v>49</v>
      </c>
      <c r="C21" s="110" t="s">
        <v>50</v>
      </c>
      <c r="D21" s="39"/>
      <c r="E21" s="111">
        <f>AVERAGE(F21:F24)</f>
        <v>6.713541667</v>
      </c>
      <c r="F21" s="112">
        <v>6.520833333333333</v>
      </c>
      <c r="G21" s="113">
        <v>1.6777259885790716</v>
      </c>
      <c r="H21" s="114">
        <v>-1.479166666666667</v>
      </c>
      <c r="I21" s="46"/>
      <c r="J21" s="115">
        <f>AVERAGE(K21:K24)</f>
        <v>6.640625</v>
      </c>
      <c r="K21" s="116">
        <v>6.5625</v>
      </c>
      <c r="L21" s="117">
        <v>1.5555825135690293</v>
      </c>
      <c r="M21" s="118">
        <v>-2.4375</v>
      </c>
      <c r="N21" s="39"/>
    </row>
    <row r="22" ht="52.5" customHeight="1">
      <c r="A22" s="39"/>
      <c r="B22" s="61"/>
      <c r="C22" s="110" t="s">
        <v>51</v>
      </c>
      <c r="D22" s="39"/>
      <c r="E22" s="61"/>
      <c r="F22" s="55">
        <v>6.8125</v>
      </c>
      <c r="G22" s="119">
        <v>1.6734012486939391</v>
      </c>
      <c r="H22" s="120">
        <v>-2.1875</v>
      </c>
      <c r="I22" s="46"/>
      <c r="J22" s="61"/>
      <c r="K22" s="59">
        <v>6.875</v>
      </c>
      <c r="L22" s="119">
        <v>1.7523276445668041</v>
      </c>
      <c r="M22" s="57">
        <v>-2.125</v>
      </c>
      <c r="N22" s="39"/>
    </row>
    <row r="23" ht="52.5" customHeight="1">
      <c r="A23" s="39"/>
      <c r="B23" s="61"/>
      <c r="C23" s="110" t="s">
        <v>52</v>
      </c>
      <c r="D23" s="39"/>
      <c r="E23" s="61"/>
      <c r="F23" s="55">
        <v>6.9375</v>
      </c>
      <c r="G23" s="121">
        <v>1.4469796128487782</v>
      </c>
      <c r="H23" s="122">
        <v>-1.0625</v>
      </c>
      <c r="I23" s="46"/>
      <c r="J23" s="61"/>
      <c r="K23" s="59">
        <v>6.854166666666667</v>
      </c>
      <c r="L23" s="87">
        <v>1.228990100312719</v>
      </c>
      <c r="M23" s="104">
        <v>-2.145833333333333</v>
      </c>
      <c r="N23" s="39"/>
    </row>
    <row r="24" ht="52.5" customHeight="1">
      <c r="A24" s="39"/>
      <c r="B24" s="69"/>
      <c r="C24" s="110" t="s">
        <v>53</v>
      </c>
      <c r="D24" s="39"/>
      <c r="E24" s="70"/>
      <c r="F24" s="71">
        <v>6.583333333333333</v>
      </c>
      <c r="G24" s="123">
        <v>1.2394482175782784</v>
      </c>
      <c r="H24" s="76">
        <v>-2.416666666666667</v>
      </c>
      <c r="I24" s="46"/>
      <c r="J24" s="70"/>
      <c r="K24" s="74">
        <v>6.270833333333333</v>
      </c>
      <c r="L24" s="124">
        <v>1.3829644173694944</v>
      </c>
      <c r="M24" s="125">
        <v>-2.729166666666667</v>
      </c>
      <c r="N24" s="39"/>
    </row>
    <row r="25" ht="52.5" customHeight="1">
      <c r="A25" s="39"/>
      <c r="B25" s="126" t="s">
        <v>54</v>
      </c>
      <c r="C25" s="127" t="s">
        <v>55</v>
      </c>
      <c r="D25" s="39"/>
      <c r="E25" s="79">
        <f>AVERAGE(F25:F29)</f>
        <v>6.314583333</v>
      </c>
      <c r="F25" s="80">
        <v>6.458333333333333</v>
      </c>
      <c r="G25" s="128">
        <v>1.1787674722451362</v>
      </c>
      <c r="H25" s="81">
        <v>-1.541666666666667</v>
      </c>
      <c r="I25" s="46"/>
      <c r="J25" s="82">
        <f>AVERAGE(K25:K29)</f>
        <v>6.88375</v>
      </c>
      <c r="K25" s="83">
        <v>7.479166666666667</v>
      </c>
      <c r="L25" s="128">
        <v>0.9026430594391247</v>
      </c>
      <c r="M25" s="81">
        <v>-1.520833333333333</v>
      </c>
      <c r="N25" s="39"/>
    </row>
    <row r="26" ht="52.5" customHeight="1">
      <c r="A26" s="39"/>
      <c r="B26" s="61"/>
      <c r="C26" s="127" t="s">
        <v>56</v>
      </c>
      <c r="D26" s="39"/>
      <c r="E26" s="61"/>
      <c r="F26" s="55">
        <v>6.260416666666667</v>
      </c>
      <c r="G26" s="129">
        <v>1.2969009186339653</v>
      </c>
      <c r="H26" s="57">
        <v>-1.739583333333333</v>
      </c>
      <c r="I26" s="46"/>
      <c r="J26" s="61"/>
      <c r="K26" s="59">
        <v>7.23125</v>
      </c>
      <c r="L26" s="130">
        <v>1.208107800041759</v>
      </c>
      <c r="M26" s="131">
        <v>-2.76875</v>
      </c>
      <c r="N26" s="39"/>
    </row>
    <row r="27" ht="52.5" customHeight="1">
      <c r="A27" s="39"/>
      <c r="B27" s="61"/>
      <c r="C27" s="127" t="s">
        <v>57</v>
      </c>
      <c r="D27" s="39"/>
      <c r="E27" s="61"/>
      <c r="F27" s="55">
        <v>6.25</v>
      </c>
      <c r="G27" s="132">
        <v>1.03209369308428</v>
      </c>
      <c r="H27" s="57">
        <v>-2.75</v>
      </c>
      <c r="I27" s="46"/>
      <c r="J27" s="61"/>
      <c r="K27" s="59">
        <v>6.166666666666667</v>
      </c>
      <c r="L27" s="133">
        <v>1.0072203103706698</v>
      </c>
      <c r="M27" s="57">
        <v>-1.833333333333333</v>
      </c>
      <c r="N27" s="39"/>
    </row>
    <row r="28" ht="52.5" customHeight="1">
      <c r="A28" s="39"/>
      <c r="B28" s="61"/>
      <c r="C28" s="127" t="s">
        <v>58</v>
      </c>
      <c r="D28" s="39"/>
      <c r="E28" s="61"/>
      <c r="F28" s="55">
        <v>5.854166666666667</v>
      </c>
      <c r="G28" s="134">
        <v>0.972213595544888</v>
      </c>
      <c r="H28" s="135">
        <v>-1.145833333333333</v>
      </c>
      <c r="I28" s="46"/>
      <c r="J28" s="61"/>
      <c r="K28" s="59">
        <v>6.666666666666667</v>
      </c>
      <c r="L28" s="136">
        <v>1.090140264874869</v>
      </c>
      <c r="M28" s="57">
        <v>-1.333333333333333</v>
      </c>
      <c r="N28" s="39"/>
    </row>
    <row r="29" ht="52.5" customHeight="1">
      <c r="A29" s="39"/>
      <c r="B29" s="69"/>
      <c r="C29" s="127" t="s">
        <v>59</v>
      </c>
      <c r="D29" s="39"/>
      <c r="E29" s="70"/>
      <c r="F29" s="54">
        <v>6.75</v>
      </c>
      <c r="G29" s="137">
        <v>1.03209369308428</v>
      </c>
      <c r="H29" s="107">
        <v>-1.25</v>
      </c>
      <c r="I29" s="46"/>
      <c r="J29" s="70"/>
      <c r="K29" s="108">
        <v>6.875</v>
      </c>
      <c r="L29" s="138">
        <v>0.9583727150068313</v>
      </c>
      <c r="M29" s="107">
        <v>-1.125</v>
      </c>
      <c r="N29" s="39"/>
    </row>
    <row r="30" ht="52.5" customHeight="1">
      <c r="A30" s="39"/>
      <c r="B30" s="139" t="s">
        <v>60</v>
      </c>
      <c r="C30" s="140" t="s">
        <v>61</v>
      </c>
      <c r="D30" s="39"/>
      <c r="E30" s="111">
        <f>AVERAGE(F30:F36)</f>
        <v>6.648809524</v>
      </c>
      <c r="F30" s="112">
        <v>5.6875</v>
      </c>
      <c r="G30" s="141">
        <v>1.040615411563085</v>
      </c>
      <c r="H30" s="142">
        <v>-2.3125</v>
      </c>
      <c r="I30" s="46"/>
      <c r="J30" s="115">
        <f>AVERAGE(K30:K36)</f>
        <v>6.8125</v>
      </c>
      <c r="K30" s="116">
        <v>6.708333333333333</v>
      </c>
      <c r="L30" s="113">
        <v>1.4058624667307678</v>
      </c>
      <c r="M30" s="143">
        <v>-0.29166666666666696</v>
      </c>
      <c r="N30" s="39"/>
    </row>
    <row r="31" ht="52.5" customHeight="1">
      <c r="A31" s="39"/>
      <c r="B31" s="61"/>
      <c r="C31" s="140" t="s">
        <v>62</v>
      </c>
      <c r="D31" s="39"/>
      <c r="E31" s="61"/>
      <c r="F31" s="55">
        <v>6.125</v>
      </c>
      <c r="G31" s="84">
        <v>1.0759222535351585</v>
      </c>
      <c r="H31" s="57">
        <v>-0.875</v>
      </c>
      <c r="I31" s="46"/>
      <c r="J31" s="61"/>
      <c r="K31" s="59">
        <v>6.729166666666667</v>
      </c>
      <c r="L31" s="57">
        <v>1.1607640537188413</v>
      </c>
      <c r="M31" s="57">
        <v>-1.270833333333333</v>
      </c>
      <c r="N31" s="39"/>
    </row>
    <row r="32" ht="52.5" customHeight="1">
      <c r="A32" s="39"/>
      <c r="B32" s="61"/>
      <c r="C32" s="140" t="s">
        <v>63</v>
      </c>
      <c r="D32" s="39"/>
      <c r="E32" s="61"/>
      <c r="F32" s="55">
        <v>6.729166666666667</v>
      </c>
      <c r="G32" s="121">
        <v>0.9888417320352599</v>
      </c>
      <c r="H32" s="57">
        <v>-1.270833333333333</v>
      </c>
      <c r="I32" s="46"/>
      <c r="J32" s="61"/>
      <c r="K32" s="59">
        <v>6.604166666666667</v>
      </c>
      <c r="L32" s="63">
        <v>0.9205287547957407</v>
      </c>
      <c r="M32" s="144">
        <v>0.604166666666667</v>
      </c>
      <c r="N32" s="39"/>
    </row>
    <row r="33" ht="52.5" customHeight="1">
      <c r="A33" s="39"/>
      <c r="B33" s="61"/>
      <c r="C33" s="140" t="s">
        <v>64</v>
      </c>
      <c r="D33" s="39"/>
      <c r="E33" s="61"/>
      <c r="F33" s="55">
        <v>6.458333333333333</v>
      </c>
      <c r="G33" s="87">
        <v>1.0623667861928838</v>
      </c>
      <c r="H33" s="145">
        <v>-1.541666666666667</v>
      </c>
      <c r="I33" s="46"/>
      <c r="J33" s="61"/>
      <c r="K33" s="59">
        <v>6.291666666666667</v>
      </c>
      <c r="L33" s="63">
        <v>0.9545846657358219</v>
      </c>
      <c r="M33" s="146">
        <v>-1.708333333333333</v>
      </c>
      <c r="N33" s="39"/>
    </row>
    <row r="34" ht="52.5" customHeight="1">
      <c r="A34" s="39"/>
      <c r="B34" s="61"/>
      <c r="C34" s="140" t="s">
        <v>65</v>
      </c>
      <c r="D34" s="39"/>
      <c r="E34" s="61"/>
      <c r="F34" s="55">
        <v>7.854166666666667</v>
      </c>
      <c r="G34" s="67">
        <v>1.2289901003127188</v>
      </c>
      <c r="H34" s="147">
        <v>-1.145833333333333</v>
      </c>
      <c r="I34" s="46"/>
      <c r="J34" s="61"/>
      <c r="K34" s="59">
        <v>7.979166666666667</v>
      </c>
      <c r="L34" s="94">
        <v>1.1839429946128124</v>
      </c>
      <c r="M34" s="57">
        <v>-2.020833333333333</v>
      </c>
      <c r="N34" s="39"/>
    </row>
    <row r="35" ht="52.5" customHeight="1">
      <c r="A35" s="39"/>
      <c r="B35" s="61"/>
      <c r="C35" s="140" t="s">
        <v>66</v>
      </c>
      <c r="D35" s="39"/>
      <c r="E35" s="61"/>
      <c r="F35" s="55">
        <v>6.6875</v>
      </c>
      <c r="G35" s="148">
        <v>1.7925722349158777</v>
      </c>
      <c r="H35" s="57">
        <v>-2.3125</v>
      </c>
      <c r="I35" s="46"/>
      <c r="J35" s="61"/>
      <c r="K35" s="59">
        <v>6.583333333333333</v>
      </c>
      <c r="L35" s="63">
        <v>1.1764599317505433</v>
      </c>
      <c r="M35" s="57">
        <v>0.583333333333333</v>
      </c>
      <c r="N35" s="39"/>
    </row>
    <row r="36" ht="52.5" customHeight="1">
      <c r="A36" s="39"/>
      <c r="B36" s="69"/>
      <c r="C36" s="140" t="s">
        <v>67</v>
      </c>
      <c r="D36" s="39"/>
      <c r="E36" s="70"/>
      <c r="F36" s="71">
        <v>7.0</v>
      </c>
      <c r="G36" s="123">
        <v>1.285369173834303</v>
      </c>
      <c r="H36" s="149">
        <v>-2.0</v>
      </c>
      <c r="I36" s="46"/>
      <c r="J36" s="70"/>
      <c r="K36" s="74">
        <v>6.791666666666667</v>
      </c>
      <c r="L36" s="150">
        <v>0.9315329426211428</v>
      </c>
      <c r="M36" s="76">
        <v>0.791666666666667</v>
      </c>
      <c r="N36" s="39"/>
    </row>
    <row r="37" ht="26.25" customHeight="1">
      <c r="A37" s="39"/>
      <c r="B37" s="151"/>
      <c r="C37" s="39"/>
      <c r="D37" s="39"/>
      <c r="E37" s="152" t="s">
        <v>68</v>
      </c>
      <c r="F37" s="153">
        <f>AVERAGE(F4:F36)</f>
        <v>6.467487374</v>
      </c>
      <c r="G37" s="154" t="s">
        <v>69</v>
      </c>
      <c r="H37" s="155">
        <f>(abs(H4)+abs(H5)+abs(H6)+abs(H7)+abs(H8)+abs(H9)+abs(H10)+abs(H11)+abs(H12)+abs(H13)+abs(H14)+abs(H15)+abs(H16)+abs(H17)+abs(H18)+abs(H19)+abs(H20)+abs(H21)+abs(H22)+abs(H23)+abs(H24)+abs(H25)+abs(H27)+abs(H26)+abs(H28)+abs(H29)+abs(H30)+abs(H31)+abs(H32)+abs(H33)+abs(H34)+abs(H35)+abs(H36))/COUNTA(H4:H36)</f>
        <v>1.653724747</v>
      </c>
      <c r="I37" s="46"/>
      <c r="J37" s="152" t="s">
        <v>68</v>
      </c>
      <c r="K37" s="156">
        <f>AVERAGE(K4:K36)</f>
        <v>6.861805556</v>
      </c>
      <c r="L37" s="154" t="s">
        <v>69</v>
      </c>
      <c r="M37" s="155">
        <f>(ABS(M4)+ABS(M5)+ABS(M6)+ABS(M7)+ABS(M8)+ABS(M9)+ABS(M10)+ABS(M11)+ABS(M12)+ABS(M13)+ABS(M14)+ABS(M15)+ABS(M16)+abs(M17)+ABS(M18)+ABS(M19)+ABS(M20)+ABS(M21)+ABS(M22)+ABS(M23)+ABS(M24)+ABS(M25)+ABS(M27)+ABS(M26)+ABS(M28)+ABS(M29)+ABS(M30)+ABS(M31)+ABS(M32)+ABS(M33)+ABS(M34)+ABS(M35)+abs(M36))/COUNTA(M4:M36)
</f>
        <v>1.364835859</v>
      </c>
      <c r="N37" s="46"/>
    </row>
    <row r="38" ht="26.25" customHeight="1">
      <c r="A38" s="39"/>
      <c r="B38" s="39"/>
      <c r="C38" s="39"/>
      <c r="D38" s="39"/>
      <c r="E38" s="69"/>
      <c r="F38" s="69"/>
      <c r="G38" s="69"/>
      <c r="H38" s="69"/>
      <c r="I38" s="46"/>
      <c r="J38" s="69"/>
      <c r="K38" s="69"/>
      <c r="L38" s="69"/>
      <c r="M38" s="69"/>
      <c r="N38" s="46"/>
    </row>
    <row r="39" ht="26.25" customHeight="1">
      <c r="A39" s="39"/>
      <c r="B39" s="39"/>
      <c r="C39" s="39"/>
      <c r="D39" s="39"/>
      <c r="E39" s="157"/>
      <c r="F39" s="157"/>
      <c r="G39" s="157"/>
      <c r="H39" s="157"/>
      <c r="I39" s="39"/>
      <c r="J39" s="157"/>
      <c r="K39" s="157"/>
      <c r="L39" s="157"/>
      <c r="M39" s="157"/>
      <c r="N39" s="39"/>
    </row>
    <row r="40">
      <c r="A40" s="39"/>
      <c r="B40" s="39"/>
      <c r="C40" s="158" t="s">
        <v>70</v>
      </c>
      <c r="D40" s="39"/>
      <c r="E40" s="159" t="s">
        <v>71</v>
      </c>
      <c r="F40" s="160"/>
      <c r="G40" s="160"/>
      <c r="H40" s="161"/>
      <c r="I40" s="46"/>
      <c r="J40" s="159" t="s">
        <v>72</v>
      </c>
      <c r="K40" s="160"/>
      <c r="L40" s="160"/>
      <c r="M40" s="161"/>
      <c r="N40" s="46"/>
    </row>
    <row r="41">
      <c r="A41" s="39"/>
      <c r="B41" s="39"/>
      <c r="C41" s="162" t="s">
        <v>73</v>
      </c>
      <c r="D41" s="39"/>
      <c r="E41" s="159" t="s">
        <v>74</v>
      </c>
      <c r="F41" s="160"/>
      <c r="G41" s="160"/>
      <c r="H41" s="161"/>
      <c r="I41" s="46"/>
      <c r="J41" s="159" t="s">
        <v>75</v>
      </c>
      <c r="K41" s="160"/>
      <c r="L41" s="160"/>
      <c r="M41" s="161"/>
      <c r="N41" s="46"/>
    </row>
    <row r="42" ht="22.5" customHeight="1">
      <c r="A42" s="39"/>
      <c r="B42" s="39"/>
      <c r="C42" s="39"/>
      <c r="D42" s="39"/>
      <c r="E42" s="151"/>
      <c r="F42" s="151"/>
      <c r="G42" s="151"/>
      <c r="H42" s="151"/>
      <c r="I42" s="39"/>
      <c r="J42" s="151"/>
      <c r="K42" s="151"/>
      <c r="L42" s="151"/>
      <c r="M42" s="151"/>
      <c r="N42" s="39"/>
    </row>
  </sheetData>
  <mergeCells count="32">
    <mergeCell ref="E2:H2"/>
    <mergeCell ref="J2:M2"/>
    <mergeCell ref="B4:B8"/>
    <mergeCell ref="E4:E8"/>
    <mergeCell ref="J4:J8"/>
    <mergeCell ref="E9:E14"/>
    <mergeCell ref="J9:J14"/>
    <mergeCell ref="J25:J29"/>
    <mergeCell ref="J30:J36"/>
    <mergeCell ref="J37:J38"/>
    <mergeCell ref="K37:K38"/>
    <mergeCell ref="L37:L38"/>
    <mergeCell ref="M37:M38"/>
    <mergeCell ref="J40:M40"/>
    <mergeCell ref="J41:M41"/>
    <mergeCell ref="B9:B14"/>
    <mergeCell ref="B15:B20"/>
    <mergeCell ref="E15:E20"/>
    <mergeCell ref="J15:J20"/>
    <mergeCell ref="B21:B24"/>
    <mergeCell ref="J21:J24"/>
    <mergeCell ref="B25:B29"/>
    <mergeCell ref="H37:H38"/>
    <mergeCell ref="E40:H40"/>
    <mergeCell ref="E41:H41"/>
    <mergeCell ref="E21:E24"/>
    <mergeCell ref="E25:E29"/>
    <mergeCell ref="B30:B36"/>
    <mergeCell ref="E30:E36"/>
    <mergeCell ref="E37:E38"/>
    <mergeCell ref="F37:F38"/>
    <mergeCell ref="G37:G38"/>
  </mergeCells>
  <conditionalFormatting sqref="E4:E36 F4:F38 J4:J36 K4:K38">
    <cfRule type="cellIs" dxfId="1" priority="1" operator="greaterThan">
      <formula>8</formula>
    </cfRule>
  </conditionalFormatting>
  <conditionalFormatting sqref="E4:E36 F4:F38 J4:J36 K4:K38">
    <cfRule type="cellIs" dxfId="2" priority="2" operator="between">
      <formula>7.000001</formula>
      <formula>8</formula>
    </cfRule>
  </conditionalFormatting>
  <conditionalFormatting sqref="E4:E36 F4:F38 J4:J36 K4:K38">
    <cfRule type="cellIs" dxfId="3" priority="3" operator="between">
      <formula>6.500001</formula>
      <formula>7</formula>
    </cfRule>
  </conditionalFormatting>
  <conditionalFormatting sqref="E4:E36 F4:F38 J4:J36 K4:K38">
    <cfRule type="cellIs" dxfId="4" priority="4" operator="between">
      <formula>5.5001</formula>
      <formula>6</formula>
    </cfRule>
  </conditionalFormatting>
  <conditionalFormatting sqref="E4:E31 F4:F36 J4:J31 K4:K36 E33 J33">
    <cfRule type="cellIs" dxfId="5" priority="5" operator="between">
      <formula>6.00001</formula>
      <formula>6.5</formula>
    </cfRule>
  </conditionalFormatting>
  <conditionalFormatting sqref="E4:E36 F4:F38 J4:J36 K4:K38">
    <cfRule type="cellIs" dxfId="6" priority="6" operator="between">
      <formula>0</formula>
      <formula>5.5</formula>
    </cfRule>
  </conditionalFormatting>
  <conditionalFormatting sqref="H4:H38 M4:M38">
    <cfRule type="cellIs" dxfId="7" priority="7" operator="lessThan">
      <formula>-0.8</formula>
    </cfRule>
  </conditionalFormatting>
  <conditionalFormatting sqref="H4:H38 M4:M38">
    <cfRule type="cellIs" dxfId="8" priority="8" operator="between">
      <formula>-0.8</formula>
      <formula>0.8</formula>
    </cfRule>
  </conditionalFormatting>
  <conditionalFormatting sqref="H4:H38 M4:M38">
    <cfRule type="cellIs" dxfId="9" priority="9" operator="greaterThan">
      <formula>0.8</formula>
    </cfRule>
  </conditionalFormatting>
  <conditionalFormatting sqref="F37:F38">
    <cfRule type="cellIs" dxfId="10" priority="10" operator="between">
      <formula>6.0001</formula>
      <formula>6.5</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4.43" defaultRowHeight="15.0"/>
  <cols>
    <col customWidth="1" min="1" max="1" width="4.43"/>
    <col customWidth="1" min="2" max="2" width="13.86"/>
    <col customWidth="1" min="3" max="3" width="58.71"/>
    <col customWidth="1" min="4" max="5" width="14.29"/>
    <col customWidth="1" min="6" max="6" width="10.14"/>
    <col customWidth="1" min="7" max="7" width="8.71"/>
    <col customWidth="1" min="8" max="8" width="12.43"/>
    <col customWidth="1" min="9" max="9" width="10.14"/>
    <col customWidth="1" min="10" max="11" width="14.71"/>
    <col customWidth="1" min="12" max="12" width="8.71"/>
    <col customWidth="1" min="13" max="13" width="12.43"/>
    <col customWidth="1" min="14" max="14" width="10.14"/>
    <col customWidth="1" min="15" max="15" width="14.71"/>
    <col customWidth="1" min="16" max="16" width="15.57"/>
    <col customWidth="1" min="17" max="17" width="8.71"/>
    <col customWidth="1" min="18" max="18" width="12.43"/>
    <col customWidth="1" min="19" max="19" width="10.14"/>
    <col customWidth="1" min="20" max="20" width="14.71"/>
    <col customWidth="1" min="21" max="21" width="15.0"/>
    <col customWidth="1" min="22" max="22" width="8.71"/>
    <col customWidth="1" min="23" max="23" width="12.43"/>
    <col customWidth="1" min="24" max="24" width="10.14"/>
    <col customWidth="1" min="25" max="25" width="14.71"/>
    <col customWidth="1" min="26" max="26" width="15.57"/>
    <col customWidth="1" min="27" max="29" width="8.71"/>
  </cols>
  <sheetData>
    <row r="1" ht="22.5" customHeight="1">
      <c r="A1" s="163"/>
      <c r="B1" s="164"/>
      <c r="C1" s="164"/>
      <c r="D1" s="164"/>
      <c r="E1" s="164"/>
      <c r="F1" s="164"/>
      <c r="G1" s="164"/>
      <c r="H1" s="164"/>
      <c r="I1" s="164"/>
      <c r="J1" s="164"/>
      <c r="K1" s="164"/>
      <c r="L1" s="164"/>
      <c r="M1" s="164"/>
      <c r="N1" s="164"/>
      <c r="O1" s="164"/>
      <c r="P1" s="164"/>
      <c r="Q1" s="164"/>
      <c r="R1" s="164"/>
      <c r="S1" s="164"/>
      <c r="T1" s="164"/>
      <c r="U1" s="164"/>
      <c r="V1" s="164"/>
      <c r="W1" s="164"/>
      <c r="X1" s="164"/>
      <c r="Y1" s="164"/>
      <c r="Z1" s="164"/>
      <c r="AA1" s="164"/>
      <c r="AB1" s="164"/>
      <c r="AC1" s="164"/>
    </row>
    <row r="2" ht="46.5" customHeight="1">
      <c r="A2" s="165"/>
      <c r="B2" s="166" t="s">
        <v>76</v>
      </c>
      <c r="C2" s="167" t="s">
        <v>77</v>
      </c>
      <c r="D2" s="164"/>
      <c r="E2" s="168" t="s">
        <v>78</v>
      </c>
      <c r="F2" s="44"/>
      <c r="G2" s="169"/>
      <c r="H2" s="168" t="s">
        <v>79</v>
      </c>
      <c r="I2" s="43"/>
      <c r="J2" s="43"/>
      <c r="K2" s="44"/>
      <c r="L2" s="170"/>
      <c r="M2" s="168" t="s">
        <v>80</v>
      </c>
      <c r="N2" s="43"/>
      <c r="O2" s="43"/>
      <c r="P2" s="44"/>
      <c r="Q2" s="170"/>
      <c r="R2" s="168" t="s">
        <v>81</v>
      </c>
      <c r="S2" s="43"/>
      <c r="T2" s="43"/>
      <c r="U2" s="44"/>
      <c r="V2" s="170"/>
      <c r="W2" s="168" t="s">
        <v>82</v>
      </c>
      <c r="X2" s="43"/>
      <c r="Y2" s="43"/>
      <c r="Z2" s="44"/>
      <c r="AA2" s="170"/>
      <c r="AB2" s="170"/>
      <c r="AC2" s="170"/>
    </row>
    <row r="3" ht="33.0" customHeight="1">
      <c r="A3" s="171"/>
      <c r="B3" s="172"/>
      <c r="C3" s="172"/>
      <c r="D3" s="164"/>
      <c r="E3" s="173" t="s">
        <v>27</v>
      </c>
      <c r="F3" s="174" t="s">
        <v>4</v>
      </c>
      <c r="G3" s="169"/>
      <c r="H3" s="175" t="s">
        <v>27</v>
      </c>
      <c r="I3" s="176" t="s">
        <v>4</v>
      </c>
      <c r="J3" s="176" t="s">
        <v>5</v>
      </c>
      <c r="K3" s="177" t="s">
        <v>28</v>
      </c>
      <c r="L3" s="178"/>
      <c r="M3" s="179" t="s">
        <v>27</v>
      </c>
      <c r="N3" s="176" t="s">
        <v>4</v>
      </c>
      <c r="O3" s="176" t="s">
        <v>5</v>
      </c>
      <c r="P3" s="177" t="s">
        <v>28</v>
      </c>
      <c r="Q3" s="178"/>
      <c r="R3" s="179" t="s">
        <v>27</v>
      </c>
      <c r="S3" s="176" t="s">
        <v>4</v>
      </c>
      <c r="T3" s="176" t="s">
        <v>5</v>
      </c>
      <c r="U3" s="177" t="s">
        <v>28</v>
      </c>
      <c r="V3" s="178"/>
      <c r="W3" s="179" t="s">
        <v>27</v>
      </c>
      <c r="X3" s="176" t="s">
        <v>4</v>
      </c>
      <c r="Y3" s="176" t="s">
        <v>5</v>
      </c>
      <c r="Z3" s="177" t="s">
        <v>28</v>
      </c>
      <c r="AA3" s="170"/>
      <c r="AB3" s="170"/>
      <c r="AC3" s="170"/>
    </row>
    <row r="4" ht="52.5" customHeight="1">
      <c r="A4" s="180"/>
      <c r="B4" s="181" t="s">
        <v>29</v>
      </c>
      <c r="C4" s="53" t="s">
        <v>30</v>
      </c>
      <c r="D4" s="164"/>
      <c r="E4" s="54">
        <f>AVERAGE(F4:F8)</f>
        <v>6.215156926</v>
      </c>
      <c r="F4" s="55">
        <f t="shared" ref="F4:F36" si="1">AVERAGE(I4,N4,S4,X4)</f>
        <v>6.359199134</v>
      </c>
      <c r="G4" s="182"/>
      <c r="H4" s="54">
        <f>AVERAGE(I4:I8)</f>
        <v>5.958333333</v>
      </c>
      <c r="I4" s="55">
        <v>6.5</v>
      </c>
      <c r="J4" s="183">
        <v>1.087114613009218</v>
      </c>
      <c r="K4" s="57">
        <v>0.5</v>
      </c>
      <c r="L4" s="184"/>
      <c r="M4" s="54">
        <f>AVERAGE(N4:N8)</f>
        <v>6.413333333</v>
      </c>
      <c r="N4" s="55">
        <v>6.566666666666666</v>
      </c>
      <c r="O4" s="57">
        <v>0.8632717389316618</v>
      </c>
      <c r="P4" s="185">
        <v>-0.43333333333333357</v>
      </c>
      <c r="Q4" s="184"/>
      <c r="R4" s="54">
        <f>AVERAGE(S4:S8)</f>
        <v>6.081818182</v>
      </c>
      <c r="S4" s="186">
        <v>5.7272727272727275</v>
      </c>
      <c r="T4" s="187">
        <v>0.46709936649691386</v>
      </c>
      <c r="U4" s="188">
        <v>-0.2727272727272725</v>
      </c>
      <c r="V4" s="184"/>
      <c r="W4" s="54">
        <f>AVERAGE(X4:X8)</f>
        <v>6.407142857</v>
      </c>
      <c r="X4" s="55">
        <v>6.642857142857143</v>
      </c>
      <c r="Y4" s="189">
        <v>0.7449463436684919</v>
      </c>
      <c r="Z4" s="57">
        <v>0.6428571428571432</v>
      </c>
      <c r="AA4" s="190"/>
      <c r="AB4" s="190"/>
      <c r="AC4" s="190"/>
    </row>
    <row r="5" ht="52.5" customHeight="1">
      <c r="A5" s="180"/>
      <c r="B5" s="61"/>
      <c r="C5" s="53" t="s">
        <v>31</v>
      </c>
      <c r="D5" s="164"/>
      <c r="E5" s="61"/>
      <c r="F5" s="55">
        <f t="shared" si="1"/>
        <v>5.980790043</v>
      </c>
      <c r="G5" s="191"/>
      <c r="H5" s="61"/>
      <c r="I5" s="55">
        <v>5.583333333333333</v>
      </c>
      <c r="J5" s="63">
        <v>1.1645001528813148</v>
      </c>
      <c r="K5" s="57">
        <v>-2.42</v>
      </c>
      <c r="L5" s="184"/>
      <c r="M5" s="61"/>
      <c r="N5" s="55">
        <v>6.333333333333333</v>
      </c>
      <c r="O5" s="67">
        <v>1.0465362369445672</v>
      </c>
      <c r="P5" s="57">
        <v>-0.666666666666667</v>
      </c>
      <c r="Q5" s="184"/>
      <c r="R5" s="61"/>
      <c r="S5" s="186">
        <v>5.363636363636363</v>
      </c>
      <c r="T5" s="192">
        <v>0.9244162777371754</v>
      </c>
      <c r="U5" s="193">
        <v>-0.6363636363636367</v>
      </c>
      <c r="V5" s="184"/>
      <c r="W5" s="61"/>
      <c r="X5" s="55">
        <v>6.642857142857143</v>
      </c>
      <c r="Y5" s="63">
        <v>1.0818177620697813</v>
      </c>
      <c r="Z5" s="146">
        <v>-1.3571428571428568</v>
      </c>
      <c r="AA5" s="190"/>
      <c r="AB5" s="190"/>
      <c r="AC5" s="190"/>
    </row>
    <row r="6" ht="52.5" customHeight="1">
      <c r="A6" s="180"/>
      <c r="B6" s="61"/>
      <c r="C6" s="53" t="s">
        <v>32</v>
      </c>
      <c r="D6" s="164"/>
      <c r="E6" s="61"/>
      <c r="F6" s="55">
        <f t="shared" si="1"/>
        <v>6.628841991</v>
      </c>
      <c r="G6" s="191"/>
      <c r="H6" s="61"/>
      <c r="I6" s="55">
        <v>6.416666666666667</v>
      </c>
      <c r="J6" s="194">
        <v>0.6685579234215215</v>
      </c>
      <c r="K6" s="195">
        <v>0.42</v>
      </c>
      <c r="L6" s="184"/>
      <c r="M6" s="61"/>
      <c r="N6" s="55">
        <v>6.8</v>
      </c>
      <c r="O6" s="183">
        <v>0.7020378500174637</v>
      </c>
      <c r="P6" s="196">
        <v>0.2999999999999998</v>
      </c>
      <c r="Q6" s="184"/>
      <c r="R6" s="61"/>
      <c r="S6" s="186">
        <v>6.7272727272727275</v>
      </c>
      <c r="T6" s="197">
        <v>0.9045340337332908</v>
      </c>
      <c r="U6" s="188">
        <v>-0.2727272727272725</v>
      </c>
      <c r="V6" s="184"/>
      <c r="W6" s="61"/>
      <c r="X6" s="55">
        <v>6.571428571428571</v>
      </c>
      <c r="Y6" s="129">
        <v>0.7559289460184544</v>
      </c>
      <c r="Z6" s="185">
        <v>-0.4285714285714288</v>
      </c>
      <c r="AA6" s="190"/>
      <c r="AB6" s="190"/>
      <c r="AC6" s="190"/>
    </row>
    <row r="7" ht="52.5" customHeight="1">
      <c r="A7" s="180"/>
      <c r="B7" s="61"/>
      <c r="C7" s="53" t="s">
        <v>33</v>
      </c>
      <c r="D7" s="164"/>
      <c r="E7" s="61"/>
      <c r="F7" s="55">
        <f t="shared" si="1"/>
        <v>6.333306277</v>
      </c>
      <c r="G7" s="191"/>
      <c r="H7" s="61"/>
      <c r="I7" s="55">
        <v>5.541666666666667</v>
      </c>
      <c r="J7" s="121">
        <v>0.7821396449755147</v>
      </c>
      <c r="K7" s="57">
        <v>-1.46</v>
      </c>
      <c r="L7" s="184"/>
      <c r="M7" s="61"/>
      <c r="N7" s="55">
        <v>6.6</v>
      </c>
      <c r="O7" s="198">
        <v>0.9102589898327994</v>
      </c>
      <c r="P7" s="57">
        <v>-1.4000000000000004</v>
      </c>
      <c r="Q7" s="184"/>
      <c r="R7" s="61"/>
      <c r="S7" s="186">
        <v>6.7272727272727275</v>
      </c>
      <c r="T7" s="187">
        <v>1.1908743922772955</v>
      </c>
      <c r="U7" s="199">
        <v>-1.2727272727272725</v>
      </c>
      <c r="V7" s="184"/>
      <c r="W7" s="61"/>
      <c r="X7" s="55">
        <v>6.464285714285714</v>
      </c>
      <c r="Y7" s="57">
        <v>0.570569409055069</v>
      </c>
      <c r="Z7" s="200">
        <v>-0.5357142857142856</v>
      </c>
      <c r="AA7" s="190"/>
      <c r="AB7" s="190"/>
      <c r="AC7" s="190"/>
    </row>
    <row r="8" ht="52.5" customHeight="1">
      <c r="A8" s="180"/>
      <c r="B8" s="69"/>
      <c r="C8" s="53" t="s">
        <v>34</v>
      </c>
      <c r="D8" s="164"/>
      <c r="E8" s="70"/>
      <c r="F8" s="55">
        <f t="shared" si="1"/>
        <v>5.773647186</v>
      </c>
      <c r="G8" s="191"/>
      <c r="H8" s="70"/>
      <c r="I8" s="54">
        <v>5.75</v>
      </c>
      <c r="J8" s="201">
        <v>1.1381803659589922</v>
      </c>
      <c r="K8" s="202">
        <v>-0.25</v>
      </c>
      <c r="L8" s="184"/>
      <c r="M8" s="70"/>
      <c r="N8" s="71">
        <v>5.766666666666667</v>
      </c>
      <c r="O8" s="203">
        <v>1.178174536346478</v>
      </c>
      <c r="P8" s="204">
        <v>-1.2333333333333334</v>
      </c>
      <c r="Q8" s="184"/>
      <c r="R8" s="70"/>
      <c r="S8" s="205">
        <v>5.863636363636363</v>
      </c>
      <c r="T8" s="206">
        <v>1.026910636104941</v>
      </c>
      <c r="U8" s="207">
        <v>-0.1363636363636367</v>
      </c>
      <c r="V8" s="184"/>
      <c r="W8" s="70"/>
      <c r="X8" s="54">
        <v>5.714285714285714</v>
      </c>
      <c r="Y8" s="208">
        <v>1.1387288073563857</v>
      </c>
      <c r="Z8" s="107">
        <v>1.7142857142857144</v>
      </c>
      <c r="AA8" s="190"/>
      <c r="AB8" s="190"/>
      <c r="AC8" s="190"/>
    </row>
    <row r="9" ht="52.5" customHeight="1">
      <c r="A9" s="180"/>
      <c r="B9" s="209" t="s">
        <v>35</v>
      </c>
      <c r="C9" s="78" t="s">
        <v>36</v>
      </c>
      <c r="D9" s="164"/>
      <c r="E9" s="111">
        <f>AVERAGE(F9:F14)</f>
        <v>6.447256043</v>
      </c>
      <c r="F9" s="55">
        <f t="shared" si="1"/>
        <v>6.526488095</v>
      </c>
      <c r="G9" s="191"/>
      <c r="H9" s="111">
        <f>AVERAGE(I9:I14)</f>
        <v>5.996527778</v>
      </c>
      <c r="I9" s="112">
        <v>5.958333333333333</v>
      </c>
      <c r="J9" s="117">
        <v>0.915977702520728</v>
      </c>
      <c r="K9" s="118">
        <v>-1.04</v>
      </c>
      <c r="L9" s="184"/>
      <c r="M9" s="54">
        <f>AVERAGE(N9:N14)</f>
        <v>6.677777778</v>
      </c>
      <c r="N9" s="80">
        <v>6.933333333333334</v>
      </c>
      <c r="O9" s="210">
        <v>0.961150104723255</v>
      </c>
      <c r="P9" s="81">
        <v>-0.06666666666666643</v>
      </c>
      <c r="Q9" s="184"/>
      <c r="R9" s="111">
        <f>AVERAGE(S9:S13)</f>
        <v>6.254545455</v>
      </c>
      <c r="S9" s="211">
        <v>6.5</v>
      </c>
      <c r="T9" s="212">
        <v>1.0723805294763609</v>
      </c>
      <c r="U9" s="212">
        <v>-1.5</v>
      </c>
      <c r="V9" s="184"/>
      <c r="W9" s="111">
        <f>AVERAGE(X9:X14)</f>
        <v>6.857142857</v>
      </c>
      <c r="X9" s="112">
        <v>6.714285714285714</v>
      </c>
      <c r="Y9" s="113">
        <v>0.8017837257372732</v>
      </c>
      <c r="Z9" s="118">
        <v>-0.2857142857142856</v>
      </c>
      <c r="AA9" s="190"/>
      <c r="AB9" s="190"/>
      <c r="AC9" s="190"/>
    </row>
    <row r="10" ht="52.5" customHeight="1">
      <c r="A10" s="180"/>
      <c r="B10" s="61"/>
      <c r="C10" s="78" t="s">
        <v>37</v>
      </c>
      <c r="D10" s="164"/>
      <c r="E10" s="61"/>
      <c r="F10" s="55">
        <f t="shared" si="1"/>
        <v>6.160944264</v>
      </c>
      <c r="G10" s="191"/>
      <c r="H10" s="61"/>
      <c r="I10" s="55">
        <v>5.4375</v>
      </c>
      <c r="J10" s="63">
        <v>0.8265825042690151</v>
      </c>
      <c r="K10" s="57">
        <v>0.44</v>
      </c>
      <c r="L10" s="184"/>
      <c r="M10" s="61"/>
      <c r="N10" s="55">
        <v>6.566666666666666</v>
      </c>
      <c r="O10" s="63">
        <v>1.0499433091271895</v>
      </c>
      <c r="P10" s="213">
        <v>0.06666666666666643</v>
      </c>
      <c r="Q10" s="184"/>
      <c r="R10" s="61"/>
      <c r="S10" s="186">
        <v>5.818181818181818</v>
      </c>
      <c r="T10" s="214">
        <v>0.9816498172140428</v>
      </c>
      <c r="U10" s="188">
        <v>-0.18181818181818166</v>
      </c>
      <c r="V10" s="184"/>
      <c r="W10" s="61"/>
      <c r="X10" s="55">
        <v>6.821428571428571</v>
      </c>
      <c r="Y10" s="63">
        <v>1.3244322855929174</v>
      </c>
      <c r="Z10" s="200">
        <v>0.8214285714285712</v>
      </c>
      <c r="AA10" s="190"/>
      <c r="AB10" s="190"/>
      <c r="AC10" s="190"/>
    </row>
    <row r="11" ht="52.5" customHeight="1">
      <c r="A11" s="180"/>
      <c r="B11" s="61"/>
      <c r="C11" s="78" t="s">
        <v>38</v>
      </c>
      <c r="D11" s="164"/>
      <c r="E11" s="61"/>
      <c r="F11" s="55">
        <f t="shared" si="1"/>
        <v>6.45784632</v>
      </c>
      <c r="G11" s="191"/>
      <c r="H11" s="61"/>
      <c r="I11" s="55">
        <v>5.833333333333333</v>
      </c>
      <c r="J11" s="63">
        <v>1.1934162828797101</v>
      </c>
      <c r="K11" s="57">
        <v>-1.17</v>
      </c>
      <c r="L11" s="184"/>
      <c r="M11" s="61"/>
      <c r="N11" s="55">
        <v>6.8</v>
      </c>
      <c r="O11" s="90">
        <v>0.9411239481143203</v>
      </c>
      <c r="P11" s="215">
        <v>-0.20000000000000018</v>
      </c>
      <c r="Q11" s="184"/>
      <c r="R11" s="61"/>
      <c r="S11" s="186">
        <v>6.590909090909091</v>
      </c>
      <c r="T11" s="216">
        <v>0.9170109546287278</v>
      </c>
      <c r="U11" s="188">
        <v>-1.4090909090909092</v>
      </c>
      <c r="V11" s="184"/>
      <c r="W11" s="61"/>
      <c r="X11" s="55">
        <v>6.607142857142857</v>
      </c>
      <c r="Y11" s="129">
        <v>0.923591889322323</v>
      </c>
      <c r="Z11" s="185">
        <v>0.6071428571428568</v>
      </c>
      <c r="AA11" s="190"/>
      <c r="AB11" s="190"/>
      <c r="AC11" s="190"/>
    </row>
    <row r="12" ht="52.5" customHeight="1">
      <c r="A12" s="180"/>
      <c r="B12" s="61"/>
      <c r="C12" s="78" t="s">
        <v>39</v>
      </c>
      <c r="D12" s="164"/>
      <c r="E12" s="61"/>
      <c r="F12" s="55">
        <f t="shared" si="1"/>
        <v>6.2375</v>
      </c>
      <c r="G12" s="191"/>
      <c r="H12" s="61"/>
      <c r="I12" s="55">
        <v>5.666666666666667</v>
      </c>
      <c r="J12" s="198">
        <v>0.8876253645985945</v>
      </c>
      <c r="K12" s="57">
        <v>-1.33</v>
      </c>
      <c r="L12" s="184"/>
      <c r="M12" s="61"/>
      <c r="N12" s="55">
        <v>6.533333333333333</v>
      </c>
      <c r="O12" s="88">
        <v>0.915475416434127</v>
      </c>
      <c r="P12" s="57">
        <v>-1.4666666666666668</v>
      </c>
      <c r="Q12" s="184"/>
      <c r="R12" s="61"/>
      <c r="S12" s="186">
        <v>6.0</v>
      </c>
      <c r="T12" s="217">
        <v>1.5491933384829668</v>
      </c>
      <c r="U12" s="218">
        <v>-3.0</v>
      </c>
      <c r="V12" s="184"/>
      <c r="W12" s="61"/>
      <c r="X12" s="55">
        <v>6.75</v>
      </c>
      <c r="Y12" s="57">
        <v>0.8933515114874565</v>
      </c>
      <c r="Z12" s="57">
        <v>0.75</v>
      </c>
      <c r="AA12" s="190"/>
      <c r="AB12" s="190"/>
      <c r="AC12" s="190"/>
    </row>
    <row r="13" ht="52.5" customHeight="1">
      <c r="A13" s="180"/>
      <c r="B13" s="61"/>
      <c r="C13" s="78" t="s">
        <v>40</v>
      </c>
      <c r="D13" s="164"/>
      <c r="E13" s="61"/>
      <c r="F13" s="55">
        <f t="shared" si="1"/>
        <v>6.752813853</v>
      </c>
      <c r="G13" s="191"/>
      <c r="H13" s="61"/>
      <c r="I13" s="55">
        <v>6.833333333333333</v>
      </c>
      <c r="J13" s="63">
        <v>1.2673044646258478</v>
      </c>
      <c r="K13" s="66">
        <v>-0.17</v>
      </c>
      <c r="L13" s="184"/>
      <c r="M13" s="61"/>
      <c r="N13" s="55">
        <v>6.6</v>
      </c>
      <c r="O13" s="219">
        <v>0.9102589898327994</v>
      </c>
      <c r="P13" s="57">
        <v>0.5999999999999996</v>
      </c>
      <c r="Q13" s="184"/>
      <c r="R13" s="61"/>
      <c r="S13" s="186">
        <v>6.363636363636363</v>
      </c>
      <c r="T13" s="220">
        <v>1.2060453783110545</v>
      </c>
      <c r="U13" s="188">
        <v>-0.6363636363636367</v>
      </c>
      <c r="V13" s="184"/>
      <c r="W13" s="61"/>
      <c r="X13" s="55">
        <v>7.214285714285714</v>
      </c>
      <c r="Y13" s="103">
        <v>0.9749612559222293</v>
      </c>
      <c r="Z13" s="221">
        <v>0.2142857142857144</v>
      </c>
      <c r="AA13" s="190"/>
      <c r="AB13" s="190"/>
      <c r="AC13" s="190"/>
    </row>
    <row r="14" ht="52.5" customHeight="1">
      <c r="A14" s="180"/>
      <c r="B14" s="69"/>
      <c r="C14" s="78" t="s">
        <v>41</v>
      </c>
      <c r="D14" s="164"/>
      <c r="E14" s="70"/>
      <c r="F14" s="55">
        <f t="shared" si="1"/>
        <v>6.547943723</v>
      </c>
      <c r="G14" s="191"/>
      <c r="H14" s="70"/>
      <c r="I14" s="71">
        <v>6.25</v>
      </c>
      <c r="J14" s="222">
        <v>1.1381803659589922</v>
      </c>
      <c r="K14" s="76">
        <v>-1.75</v>
      </c>
      <c r="L14" s="184"/>
      <c r="M14" s="61"/>
      <c r="N14" s="71">
        <v>6.633333333333334</v>
      </c>
      <c r="O14" s="222">
        <v>0.9347777938149385</v>
      </c>
      <c r="P14" s="223">
        <v>0.6333333333333337</v>
      </c>
      <c r="Q14" s="184"/>
      <c r="R14" s="70"/>
      <c r="S14" s="224">
        <v>6.2727272727272725</v>
      </c>
      <c r="T14" s="225">
        <v>0.7862453931068965</v>
      </c>
      <c r="U14" s="226">
        <v>-0.7272727272727275</v>
      </c>
      <c r="V14" s="184"/>
      <c r="W14" s="70"/>
      <c r="X14" s="71">
        <v>7.035714285714286</v>
      </c>
      <c r="Y14" s="227">
        <v>0.8427127833163771</v>
      </c>
      <c r="Z14" s="228">
        <v>0.03571428571428559</v>
      </c>
      <c r="AA14" s="190"/>
      <c r="AB14" s="190"/>
      <c r="AC14" s="190"/>
    </row>
    <row r="15" ht="52.5" customHeight="1">
      <c r="A15" s="180"/>
      <c r="B15" s="229" t="s">
        <v>42</v>
      </c>
      <c r="C15" s="96" t="s">
        <v>43</v>
      </c>
      <c r="D15" s="164"/>
      <c r="E15" s="79">
        <f>AVERAGE(F15:F20)</f>
        <v>6.580776515</v>
      </c>
      <c r="F15" s="55">
        <f t="shared" si="1"/>
        <v>6.752218615</v>
      </c>
      <c r="G15" s="191"/>
      <c r="H15" s="111">
        <f>AVERAGE(I15:I20)</f>
        <v>6.354166667</v>
      </c>
      <c r="I15" s="80">
        <v>6.5</v>
      </c>
      <c r="J15" s="230">
        <v>1.4459976109624424</v>
      </c>
      <c r="K15" s="231">
        <v>-1.5</v>
      </c>
      <c r="L15" s="184"/>
      <c r="M15" s="54">
        <f>AVERAGE(N15:N20)</f>
        <v>6.848809524</v>
      </c>
      <c r="N15" s="80">
        <v>6.966666666666667</v>
      </c>
      <c r="O15" s="232">
        <v>0.8121107126025426</v>
      </c>
      <c r="P15" s="81">
        <v>-0.033333333333333215</v>
      </c>
      <c r="Q15" s="184"/>
      <c r="R15" s="79">
        <f>AVERAGEA(S15:S20)</f>
        <v>6.143939394</v>
      </c>
      <c r="S15" s="233">
        <v>6.363636363636363</v>
      </c>
      <c r="T15" s="234">
        <v>0.8090398349558904</v>
      </c>
      <c r="U15" s="235">
        <v>-0.6363636363636367</v>
      </c>
      <c r="V15" s="184"/>
      <c r="W15" s="79">
        <f>AVERAGE(X15:X20)</f>
        <v>6.976190476</v>
      </c>
      <c r="X15" s="80">
        <v>7.178571428571429</v>
      </c>
      <c r="Y15" s="81">
        <v>0.723430472368733</v>
      </c>
      <c r="Z15" s="81">
        <v>-0.8214285714285712</v>
      </c>
      <c r="AA15" s="190"/>
      <c r="AB15" s="190"/>
      <c r="AC15" s="190"/>
    </row>
    <row r="16" ht="52.5" customHeight="1">
      <c r="A16" s="180"/>
      <c r="B16" s="61"/>
      <c r="C16" s="96" t="s">
        <v>44</v>
      </c>
      <c r="D16" s="164"/>
      <c r="E16" s="61"/>
      <c r="F16" s="55">
        <f t="shared" si="1"/>
        <v>6.376136364</v>
      </c>
      <c r="G16" s="191"/>
      <c r="H16" s="61"/>
      <c r="I16" s="55">
        <v>6.583333333333333</v>
      </c>
      <c r="J16" s="236">
        <v>1.378954368902449</v>
      </c>
      <c r="K16" s="57">
        <v>-1.42</v>
      </c>
      <c r="L16" s="184"/>
      <c r="M16" s="61"/>
      <c r="N16" s="55">
        <v>6.466666666666667</v>
      </c>
      <c r="O16" s="237">
        <v>1.1412190641506792</v>
      </c>
      <c r="P16" s="57">
        <v>0.4666666666666668</v>
      </c>
      <c r="Q16" s="184"/>
      <c r="R16" s="61"/>
      <c r="S16" s="186">
        <v>5.954545454545454</v>
      </c>
      <c r="T16" s="188">
        <v>0.5680909018170178</v>
      </c>
      <c r="U16" s="188">
        <v>-0.5454545454545459</v>
      </c>
      <c r="V16" s="184"/>
      <c r="W16" s="61"/>
      <c r="X16" s="55">
        <v>6.5</v>
      </c>
      <c r="Y16" s="67">
        <v>0.6201736729460423</v>
      </c>
      <c r="Z16" s="146">
        <v>-0.5</v>
      </c>
      <c r="AA16" s="190"/>
      <c r="AB16" s="190"/>
      <c r="AC16" s="190"/>
    </row>
    <row r="17" ht="52.5" customHeight="1">
      <c r="A17" s="180"/>
      <c r="B17" s="61"/>
      <c r="C17" s="96" t="s">
        <v>45</v>
      </c>
      <c r="D17" s="164"/>
      <c r="E17" s="61"/>
      <c r="F17" s="55">
        <f t="shared" si="1"/>
        <v>6.435497835</v>
      </c>
      <c r="G17" s="191"/>
      <c r="H17" s="61"/>
      <c r="I17" s="55">
        <v>6.333333333333333</v>
      </c>
      <c r="J17" s="63">
        <v>1.0730867399773196</v>
      </c>
      <c r="K17" s="146">
        <v>-0.67</v>
      </c>
      <c r="L17" s="184"/>
      <c r="M17" s="61"/>
      <c r="N17" s="55">
        <v>6.733333333333333</v>
      </c>
      <c r="O17" s="238">
        <v>1.0834249045547752</v>
      </c>
      <c r="P17" s="57">
        <v>-1.2666666666666666</v>
      </c>
      <c r="Q17" s="184"/>
      <c r="R17" s="61"/>
      <c r="S17" s="186">
        <v>5.818181818181818</v>
      </c>
      <c r="T17" s="239">
        <v>0.8447700063546075</v>
      </c>
      <c r="U17" s="240">
        <v>-0.6818181818181817</v>
      </c>
      <c r="V17" s="184"/>
      <c r="W17" s="61"/>
      <c r="X17" s="55">
        <v>6.857142857142857</v>
      </c>
      <c r="Y17" s="57">
        <v>0.8864052604279183</v>
      </c>
      <c r="Z17" s="57">
        <v>-1.1428571428571432</v>
      </c>
      <c r="AA17" s="190"/>
      <c r="AB17" s="190"/>
      <c r="AC17" s="190"/>
    </row>
    <row r="18" ht="52.5" customHeight="1">
      <c r="A18" s="180"/>
      <c r="B18" s="61"/>
      <c r="C18" s="96" t="s">
        <v>46</v>
      </c>
      <c r="D18" s="164"/>
      <c r="E18" s="61"/>
      <c r="F18" s="55">
        <f t="shared" si="1"/>
        <v>6.614989177</v>
      </c>
      <c r="G18" s="191"/>
      <c r="H18" s="61"/>
      <c r="I18" s="55">
        <v>5.916666666666667</v>
      </c>
      <c r="J18" s="63">
        <v>1.378954368902449</v>
      </c>
      <c r="K18" s="146">
        <v>-0.08</v>
      </c>
      <c r="L18" s="184"/>
      <c r="M18" s="61"/>
      <c r="N18" s="55">
        <v>7.166666666666667</v>
      </c>
      <c r="O18" s="238">
        <v>1.0293317295817757</v>
      </c>
      <c r="P18" s="57">
        <v>-0.833333333333333</v>
      </c>
      <c r="Q18" s="184"/>
      <c r="R18" s="61"/>
      <c r="S18" s="186">
        <v>6.090909090909091</v>
      </c>
      <c r="T18" s="239">
        <v>1.4969666298582247</v>
      </c>
      <c r="U18" s="240">
        <v>-0.9090909090909092</v>
      </c>
      <c r="V18" s="184"/>
      <c r="W18" s="61"/>
      <c r="X18" s="55">
        <v>7.285714285714286</v>
      </c>
      <c r="Y18" s="57">
        <v>1.0690449676496974</v>
      </c>
      <c r="Z18" s="57">
        <v>0.2857142857142856</v>
      </c>
      <c r="AA18" s="190"/>
      <c r="AB18" s="190"/>
      <c r="AC18" s="190"/>
    </row>
    <row r="19" ht="52.5" customHeight="1">
      <c r="A19" s="180"/>
      <c r="B19" s="61"/>
      <c r="C19" s="96" t="s">
        <v>47</v>
      </c>
      <c r="D19" s="164"/>
      <c r="E19" s="61"/>
      <c r="F19" s="55">
        <f t="shared" si="1"/>
        <v>6.755411255</v>
      </c>
      <c r="G19" s="191"/>
      <c r="H19" s="61"/>
      <c r="I19" s="55">
        <v>6.583333333333333</v>
      </c>
      <c r="J19" s="241">
        <v>1.1645001528813148</v>
      </c>
      <c r="K19" s="106">
        <v>-0.42</v>
      </c>
      <c r="L19" s="184"/>
      <c r="M19" s="61"/>
      <c r="N19" s="55">
        <v>6.892857142857143</v>
      </c>
      <c r="O19" s="63">
        <v>0.9235918893223227</v>
      </c>
      <c r="P19" s="57">
        <v>0.8928571428571432</v>
      </c>
      <c r="Q19" s="184"/>
      <c r="R19" s="61"/>
      <c r="S19" s="186">
        <v>6.545454545454546</v>
      </c>
      <c r="T19" s="242">
        <v>1.1281521496355325</v>
      </c>
      <c r="U19" s="188">
        <v>-2.454545454545454</v>
      </c>
      <c r="V19" s="184"/>
      <c r="W19" s="61"/>
      <c r="X19" s="55">
        <v>7.0</v>
      </c>
      <c r="Y19" s="133">
        <v>1.1766968108291043</v>
      </c>
      <c r="Z19" s="243">
        <v>1.0</v>
      </c>
      <c r="AA19" s="190"/>
      <c r="AB19" s="190"/>
      <c r="AC19" s="190"/>
    </row>
    <row r="20" ht="52.5" customHeight="1">
      <c r="A20" s="180"/>
      <c r="B20" s="69"/>
      <c r="C20" s="96" t="s">
        <v>48</v>
      </c>
      <c r="D20" s="164"/>
      <c r="E20" s="70"/>
      <c r="F20" s="55">
        <f t="shared" si="1"/>
        <v>6.550405844</v>
      </c>
      <c r="G20" s="191"/>
      <c r="H20" s="70"/>
      <c r="I20" s="54">
        <v>6.208333333333333</v>
      </c>
      <c r="J20" s="107">
        <v>0.9404624909956256</v>
      </c>
      <c r="K20" s="107">
        <v>-0.79</v>
      </c>
      <c r="L20" s="184"/>
      <c r="M20" s="61"/>
      <c r="N20" s="54">
        <v>6.866666666666666</v>
      </c>
      <c r="O20" s="244">
        <v>1.0768118728560758</v>
      </c>
      <c r="P20" s="107">
        <v>1.8666666666666663</v>
      </c>
      <c r="Q20" s="184"/>
      <c r="R20" s="70"/>
      <c r="S20" s="205">
        <v>6.090909090909091</v>
      </c>
      <c r="T20" s="245">
        <v>1.044465935734187</v>
      </c>
      <c r="U20" s="246">
        <v>-0.9090909090909092</v>
      </c>
      <c r="V20" s="184"/>
      <c r="W20" s="70"/>
      <c r="X20" s="54">
        <v>7.035714285714286</v>
      </c>
      <c r="Y20" s="247">
        <v>0.9700175596008899</v>
      </c>
      <c r="Z20" s="248">
        <v>-1.9642857142857144</v>
      </c>
      <c r="AA20" s="190"/>
      <c r="AB20" s="190"/>
      <c r="AC20" s="190"/>
    </row>
    <row r="21" ht="52.5" customHeight="1">
      <c r="A21" s="180"/>
      <c r="B21" s="249" t="s">
        <v>49</v>
      </c>
      <c r="C21" s="110" t="s">
        <v>50</v>
      </c>
      <c r="D21" s="164"/>
      <c r="E21" s="111">
        <f>AVERAGE(F21:F24)</f>
        <v>7.620799513</v>
      </c>
      <c r="F21" s="55">
        <f t="shared" si="1"/>
        <v>7.778787879</v>
      </c>
      <c r="G21" s="191"/>
      <c r="H21" s="111">
        <f>AVERAGE(I21:I24)</f>
        <v>7.385416667</v>
      </c>
      <c r="I21" s="112">
        <v>7.333333333333333</v>
      </c>
      <c r="J21" s="118">
        <v>1.3026778945578592</v>
      </c>
      <c r="K21" s="250">
        <v>-0.67</v>
      </c>
      <c r="L21" s="184"/>
      <c r="M21" s="54">
        <f>AVERAGE(N21:N24)</f>
        <v>7.545833333</v>
      </c>
      <c r="N21" s="112">
        <v>7.6</v>
      </c>
      <c r="O21" s="251">
        <v>1.1680264184879185</v>
      </c>
      <c r="P21" s="118">
        <v>-0.40000000000000036</v>
      </c>
      <c r="Q21" s="184"/>
      <c r="R21" s="111">
        <f>AVERAGE(S21:S24)</f>
        <v>7.284090909</v>
      </c>
      <c r="S21" s="211">
        <v>7.681818181818182</v>
      </c>
      <c r="T21" s="252">
        <v>0.9558432735738447</v>
      </c>
      <c r="U21" s="253">
        <v>-1.3181818181818183</v>
      </c>
      <c r="V21" s="184"/>
      <c r="W21" s="111">
        <f>AVERAGE(X21:X24)</f>
        <v>8.267857143</v>
      </c>
      <c r="X21" s="112">
        <v>8.5</v>
      </c>
      <c r="Y21" s="118">
        <v>0.9405399431259602</v>
      </c>
      <c r="Z21" s="118">
        <v>0.5</v>
      </c>
      <c r="AA21" s="190"/>
      <c r="AB21" s="190"/>
      <c r="AC21" s="190"/>
    </row>
    <row r="22" ht="52.5" customHeight="1">
      <c r="A22" s="180"/>
      <c r="B22" s="61"/>
      <c r="C22" s="110" t="s">
        <v>51</v>
      </c>
      <c r="D22" s="164"/>
      <c r="E22" s="61"/>
      <c r="F22" s="55">
        <f t="shared" si="1"/>
        <v>7.461255411</v>
      </c>
      <c r="G22" s="191"/>
      <c r="H22" s="61"/>
      <c r="I22" s="55">
        <v>7.333333333333333</v>
      </c>
      <c r="J22" s="84">
        <v>1.2309149097933272</v>
      </c>
      <c r="K22" s="144">
        <v>0.33</v>
      </c>
      <c r="L22" s="184"/>
      <c r="M22" s="61"/>
      <c r="N22" s="55">
        <v>7.2</v>
      </c>
      <c r="O22" s="57">
        <v>0.9411239481143203</v>
      </c>
      <c r="P22" s="57">
        <v>0.20000000000000018</v>
      </c>
      <c r="Q22" s="184"/>
      <c r="R22" s="61"/>
      <c r="S22" s="186">
        <v>6.954545454545454</v>
      </c>
      <c r="T22" s="192">
        <v>0.8501336793277119</v>
      </c>
      <c r="U22" s="254">
        <v>-0.5454545454545459</v>
      </c>
      <c r="V22" s="184"/>
      <c r="W22" s="61"/>
      <c r="X22" s="55">
        <v>8.357142857142858</v>
      </c>
      <c r="Y22" s="255">
        <v>1.3363062095621219</v>
      </c>
      <c r="Z22" s="57">
        <v>1.3571428571428577</v>
      </c>
      <c r="AA22" s="190"/>
      <c r="AB22" s="190"/>
      <c r="AC22" s="190"/>
    </row>
    <row r="23" ht="52.5" customHeight="1">
      <c r="A23" s="180"/>
      <c r="B23" s="61"/>
      <c r="C23" s="110" t="s">
        <v>52</v>
      </c>
      <c r="D23" s="164"/>
      <c r="E23" s="61"/>
      <c r="F23" s="55">
        <f t="shared" si="1"/>
        <v>7.478598485</v>
      </c>
      <c r="G23" s="191"/>
      <c r="H23" s="61"/>
      <c r="I23" s="55">
        <v>7.708333333333333</v>
      </c>
      <c r="J23" s="255">
        <v>1.5144505954505765</v>
      </c>
      <c r="K23" s="256">
        <v>0.71</v>
      </c>
      <c r="L23" s="184"/>
      <c r="M23" s="61"/>
      <c r="N23" s="55">
        <v>7.433333333333334</v>
      </c>
      <c r="O23" s="57">
        <v>1.347837774610382</v>
      </c>
      <c r="P23" s="57">
        <v>0.43333333333333357</v>
      </c>
      <c r="Q23" s="184"/>
      <c r="R23" s="61"/>
      <c r="S23" s="186">
        <v>6.7727272727272725</v>
      </c>
      <c r="T23" s="192">
        <v>0.817423891369599</v>
      </c>
      <c r="U23" s="257">
        <v>-0.7272727272727275</v>
      </c>
      <c r="V23" s="184"/>
      <c r="W23" s="61"/>
      <c r="X23" s="55">
        <v>8.0</v>
      </c>
      <c r="Y23" s="189">
        <v>1.3587324409735149</v>
      </c>
      <c r="Z23" s="57">
        <v>1.0</v>
      </c>
      <c r="AA23" s="190"/>
      <c r="AB23" s="190"/>
      <c r="AC23" s="190"/>
    </row>
    <row r="24" ht="52.5" customHeight="1">
      <c r="A24" s="180"/>
      <c r="B24" s="69"/>
      <c r="C24" s="110" t="s">
        <v>53</v>
      </c>
      <c r="D24" s="164"/>
      <c r="E24" s="70"/>
      <c r="F24" s="55">
        <f t="shared" si="1"/>
        <v>7.764556277</v>
      </c>
      <c r="G24" s="191"/>
      <c r="H24" s="70"/>
      <c r="I24" s="71">
        <v>7.166666666666667</v>
      </c>
      <c r="J24" s="76">
        <v>1.4668044012461756</v>
      </c>
      <c r="K24" s="76">
        <v>-0.83</v>
      </c>
      <c r="L24" s="184"/>
      <c r="M24" s="61"/>
      <c r="N24" s="71">
        <v>7.95</v>
      </c>
      <c r="O24" s="258">
        <v>1.3031555109480548</v>
      </c>
      <c r="P24" s="76">
        <v>-0.04999999999999982</v>
      </c>
      <c r="Q24" s="184"/>
      <c r="R24" s="70"/>
      <c r="S24" s="224">
        <v>7.7272727272727275</v>
      </c>
      <c r="T24" s="259">
        <v>1.2720777563426766</v>
      </c>
      <c r="U24" s="260">
        <v>-1.2727272727272725</v>
      </c>
      <c r="V24" s="184"/>
      <c r="W24" s="70"/>
      <c r="X24" s="71">
        <v>8.214285714285714</v>
      </c>
      <c r="Y24" s="76">
        <v>1.3114039117603011</v>
      </c>
      <c r="Z24" s="76">
        <v>-0.7857142857142865</v>
      </c>
      <c r="AA24" s="190"/>
      <c r="AB24" s="190"/>
      <c r="AC24" s="190"/>
    </row>
    <row r="25" ht="52.5" customHeight="1">
      <c r="A25" s="180"/>
      <c r="B25" s="261" t="s">
        <v>54</v>
      </c>
      <c r="C25" s="127" t="s">
        <v>55</v>
      </c>
      <c r="D25" s="164"/>
      <c r="E25" s="79">
        <f>AVERAGE(F25:F29)</f>
        <v>6.518138528</v>
      </c>
      <c r="F25" s="55">
        <f t="shared" si="1"/>
        <v>6.553841991</v>
      </c>
      <c r="G25" s="191"/>
      <c r="H25" s="79">
        <f>AVERAGE(I25:I29)</f>
        <v>6.133333333</v>
      </c>
      <c r="I25" s="80">
        <v>5.916666666666667</v>
      </c>
      <c r="J25" s="262">
        <v>1.378954368902449</v>
      </c>
      <c r="K25" s="81">
        <v>-1.08</v>
      </c>
      <c r="L25" s="184"/>
      <c r="M25" s="54">
        <f>AVERAGE(N25:N29)</f>
        <v>6.724285714</v>
      </c>
      <c r="N25" s="80">
        <v>7.071428571428571</v>
      </c>
      <c r="O25" s="263">
        <v>0.9972489631508749</v>
      </c>
      <c r="P25" s="264">
        <v>0.07142857142857117</v>
      </c>
      <c r="Q25" s="184"/>
      <c r="R25" s="79">
        <f>AVERAGE(S25:S29)</f>
        <v>6.436363636</v>
      </c>
      <c r="S25" s="233">
        <v>6.2272727272727275</v>
      </c>
      <c r="T25" s="265">
        <v>0.8764598212022148</v>
      </c>
      <c r="U25" s="265">
        <v>-1.7727272727272725</v>
      </c>
      <c r="V25" s="184"/>
      <c r="W25" s="79">
        <f>AVERAGE(X25:X29)</f>
        <v>6.778571429</v>
      </c>
      <c r="X25" s="80">
        <v>7.0</v>
      </c>
      <c r="Y25" s="266">
        <v>0.8770580193070292</v>
      </c>
      <c r="Z25" s="81">
        <v>-1.0</v>
      </c>
      <c r="AA25" s="190"/>
      <c r="AB25" s="190"/>
      <c r="AC25" s="190"/>
    </row>
    <row r="26" ht="52.5" customHeight="1">
      <c r="A26" s="180"/>
      <c r="B26" s="61"/>
      <c r="C26" s="127" t="s">
        <v>56</v>
      </c>
      <c r="D26" s="164"/>
      <c r="E26" s="61"/>
      <c r="F26" s="55">
        <f t="shared" si="1"/>
        <v>6.724756494</v>
      </c>
      <c r="G26" s="191"/>
      <c r="H26" s="61"/>
      <c r="I26" s="55">
        <v>6.541666666666667</v>
      </c>
      <c r="J26" s="63">
        <v>1.1571582223339865</v>
      </c>
      <c r="K26" s="92">
        <v>-2.46</v>
      </c>
      <c r="L26" s="184"/>
      <c r="M26" s="61"/>
      <c r="N26" s="55">
        <v>6.883333333333334</v>
      </c>
      <c r="O26" s="57">
        <v>0.7954483611386066</v>
      </c>
      <c r="P26" s="57">
        <v>0.38333333333333375</v>
      </c>
      <c r="Q26" s="184"/>
      <c r="R26" s="61"/>
      <c r="S26" s="186">
        <v>6.545454545454546</v>
      </c>
      <c r="T26" s="267">
        <v>0.9341987329938275</v>
      </c>
      <c r="U26" s="268">
        <v>-1.4545454545454541</v>
      </c>
      <c r="V26" s="184"/>
      <c r="W26" s="61"/>
      <c r="X26" s="55">
        <v>6.928571428571429</v>
      </c>
      <c r="Y26" s="63">
        <v>1.1906227016071957</v>
      </c>
      <c r="Z26" s="57">
        <v>-0.07142857142857117</v>
      </c>
      <c r="AA26" s="190"/>
      <c r="AB26" s="190"/>
      <c r="AC26" s="190"/>
    </row>
    <row r="27" ht="52.5" customHeight="1">
      <c r="A27" s="180"/>
      <c r="B27" s="61"/>
      <c r="C27" s="127" t="s">
        <v>57</v>
      </c>
      <c r="D27" s="164"/>
      <c r="E27" s="61"/>
      <c r="F27" s="55">
        <f t="shared" si="1"/>
        <v>6.541341991</v>
      </c>
      <c r="G27" s="191"/>
      <c r="H27" s="61"/>
      <c r="I27" s="55">
        <v>5.75</v>
      </c>
      <c r="J27" s="269">
        <v>1.4222261679238197</v>
      </c>
      <c r="K27" s="57">
        <v>-1.25</v>
      </c>
      <c r="L27" s="184"/>
      <c r="M27" s="61"/>
      <c r="N27" s="55">
        <v>6.866666666666666</v>
      </c>
      <c r="O27" s="270">
        <v>0.8957571949925673</v>
      </c>
      <c r="P27" s="57">
        <v>1.3666666666666663</v>
      </c>
      <c r="Q27" s="184"/>
      <c r="R27" s="61"/>
      <c r="S27" s="186">
        <v>6.7272727272727275</v>
      </c>
      <c r="T27" s="192">
        <v>1.2720777563426766</v>
      </c>
      <c r="U27" s="188">
        <v>-2.2727272727272725</v>
      </c>
      <c r="V27" s="184"/>
      <c r="W27" s="61"/>
      <c r="X27" s="55">
        <v>6.821428571428571</v>
      </c>
      <c r="Y27" s="57">
        <v>0.8229202890911137</v>
      </c>
      <c r="Z27" s="271">
        <v>-0.17857142857142883</v>
      </c>
      <c r="AA27" s="190"/>
      <c r="AB27" s="190"/>
      <c r="AC27" s="190"/>
    </row>
    <row r="28" ht="52.5" customHeight="1">
      <c r="A28" s="180"/>
      <c r="B28" s="61"/>
      <c r="C28" s="127" t="s">
        <v>58</v>
      </c>
      <c r="D28" s="164"/>
      <c r="E28" s="61"/>
      <c r="F28" s="55">
        <f t="shared" si="1"/>
        <v>5.933170996</v>
      </c>
      <c r="G28" s="191"/>
      <c r="H28" s="61"/>
      <c r="I28" s="55">
        <v>6.0</v>
      </c>
      <c r="J28" s="90">
        <v>0.7385489458759964</v>
      </c>
      <c r="K28" s="57">
        <v>0.0</v>
      </c>
      <c r="L28" s="184"/>
      <c r="M28" s="61"/>
      <c r="N28" s="55">
        <v>5.833333333333333</v>
      </c>
      <c r="O28" s="57">
        <v>0.6986381310057719</v>
      </c>
      <c r="P28" s="57">
        <v>0.833333333333333</v>
      </c>
      <c r="Q28" s="184"/>
      <c r="R28" s="61"/>
      <c r="S28" s="186">
        <v>5.863636363636363</v>
      </c>
      <c r="T28" s="272">
        <v>0.8393720596645176</v>
      </c>
      <c r="U28" s="188">
        <v>-0.1363636363636367</v>
      </c>
      <c r="V28" s="184"/>
      <c r="W28" s="61"/>
      <c r="X28" s="55">
        <v>6.035714285714286</v>
      </c>
      <c r="Y28" s="269">
        <v>0.7957648887967841</v>
      </c>
      <c r="Z28" s="200">
        <v>0.03571428571428559</v>
      </c>
      <c r="AA28" s="190"/>
      <c r="AB28" s="190"/>
      <c r="AC28" s="190"/>
    </row>
    <row r="29" ht="52.5" customHeight="1">
      <c r="A29" s="180"/>
      <c r="B29" s="69"/>
      <c r="C29" s="127" t="s">
        <v>59</v>
      </c>
      <c r="D29" s="164"/>
      <c r="E29" s="70"/>
      <c r="F29" s="55">
        <f t="shared" si="1"/>
        <v>6.837581169</v>
      </c>
      <c r="G29" s="191"/>
      <c r="H29" s="70"/>
      <c r="I29" s="71">
        <v>6.458333333333333</v>
      </c>
      <c r="J29" s="227">
        <v>1.5588214273688445</v>
      </c>
      <c r="K29" s="76">
        <v>-2.54</v>
      </c>
      <c r="L29" s="184"/>
      <c r="M29" s="61"/>
      <c r="N29" s="71">
        <v>6.966666666666667</v>
      </c>
      <c r="O29" s="273">
        <v>0.7668736780560655</v>
      </c>
      <c r="P29" s="76">
        <v>-0.033333333333333215</v>
      </c>
      <c r="Q29" s="184"/>
      <c r="R29" s="70"/>
      <c r="S29" s="224">
        <v>6.818181818181818</v>
      </c>
      <c r="T29" s="259">
        <v>0.8738628975053029</v>
      </c>
      <c r="U29" s="226">
        <v>-1.1818181818181817</v>
      </c>
      <c r="V29" s="184"/>
      <c r="W29" s="70"/>
      <c r="X29" s="71">
        <v>7.107142857142857</v>
      </c>
      <c r="Y29" s="274">
        <v>0.7888299862788859</v>
      </c>
      <c r="Z29" s="275">
        <v>-0.8928571428571432</v>
      </c>
      <c r="AA29" s="190"/>
      <c r="AB29" s="190"/>
      <c r="AC29" s="190"/>
    </row>
    <row r="30" ht="52.5" customHeight="1">
      <c r="A30" s="180"/>
      <c r="B30" s="276" t="s">
        <v>60</v>
      </c>
      <c r="C30" s="140" t="s">
        <v>61</v>
      </c>
      <c r="D30" s="164"/>
      <c r="E30" s="79">
        <f>AVERAGE(F30:F36)</f>
        <v>6.785528757</v>
      </c>
      <c r="F30" s="55">
        <f t="shared" si="1"/>
        <v>6.089745671</v>
      </c>
      <c r="G30" s="191"/>
      <c r="H30" s="79">
        <f>AVERAGE(I30:I36)</f>
        <v>6.357142857</v>
      </c>
      <c r="I30" s="80">
        <v>6.041666666666667</v>
      </c>
      <c r="J30" s="262">
        <v>1.2146517146403686</v>
      </c>
      <c r="K30" s="277">
        <v>-0.96</v>
      </c>
      <c r="L30" s="184"/>
      <c r="M30" s="79">
        <f>AVERAGE(N30:N36)</f>
        <v>7.102380952</v>
      </c>
      <c r="N30" s="80">
        <v>6.466666666666667</v>
      </c>
      <c r="O30" s="278">
        <v>1.0082988974836116</v>
      </c>
      <c r="P30" s="81">
        <v>0.9666666666666668</v>
      </c>
      <c r="Q30" s="184"/>
      <c r="R30" s="79">
        <f>AVERAGE(S30:S36)</f>
        <v>6.487012987</v>
      </c>
      <c r="S30" s="233">
        <v>5.636363636363637</v>
      </c>
      <c r="T30" s="234">
        <v>0.8090398349558904</v>
      </c>
      <c r="U30" s="265">
        <v>0.6363636363636367</v>
      </c>
      <c r="V30" s="184"/>
      <c r="W30" s="79">
        <f>AVERAGE(X30:X36)</f>
        <v>7.195578231</v>
      </c>
      <c r="X30" s="80">
        <v>6.214285714285714</v>
      </c>
      <c r="Y30" s="210">
        <v>0.8017837257372732</v>
      </c>
      <c r="Z30" s="279">
        <v>-0.7857142857142856</v>
      </c>
      <c r="AA30" s="190"/>
      <c r="AB30" s="190"/>
      <c r="AC30" s="190"/>
    </row>
    <row r="31" ht="52.5" customHeight="1">
      <c r="A31" s="180"/>
      <c r="B31" s="61"/>
      <c r="C31" s="140" t="s">
        <v>62</v>
      </c>
      <c r="D31" s="164"/>
      <c r="E31" s="61"/>
      <c r="F31" s="55">
        <f t="shared" si="1"/>
        <v>6.929166667</v>
      </c>
      <c r="G31" s="191"/>
      <c r="H31" s="61"/>
      <c r="I31" s="55">
        <v>6.583333333333333</v>
      </c>
      <c r="J31" s="65">
        <v>1.1448170424159752</v>
      </c>
      <c r="K31" s="57">
        <v>-2.42</v>
      </c>
      <c r="L31" s="184"/>
      <c r="M31" s="61"/>
      <c r="N31" s="55">
        <v>7.4</v>
      </c>
      <c r="O31" s="60">
        <v>0.9856107606091622</v>
      </c>
      <c r="P31" s="196">
        <v>0.40000000000000036</v>
      </c>
      <c r="Q31" s="184"/>
      <c r="R31" s="61"/>
      <c r="S31" s="186">
        <v>6.5</v>
      </c>
      <c r="T31" s="280">
        <v>0.9746794344808963</v>
      </c>
      <c r="U31" s="188">
        <v>-0.5</v>
      </c>
      <c r="V31" s="184"/>
      <c r="W31" s="61"/>
      <c r="X31" s="55">
        <v>7.233333333333333</v>
      </c>
      <c r="Y31" s="189">
        <v>0.9036961141150638</v>
      </c>
      <c r="Z31" s="57">
        <v>-0.7666666666666666</v>
      </c>
      <c r="AA31" s="190"/>
      <c r="AB31" s="190"/>
      <c r="AC31" s="190"/>
    </row>
    <row r="32" ht="52.5" customHeight="1">
      <c r="A32" s="180"/>
      <c r="B32" s="61"/>
      <c r="C32" s="140" t="s">
        <v>63</v>
      </c>
      <c r="D32" s="164"/>
      <c r="E32" s="61"/>
      <c r="F32" s="55">
        <f t="shared" si="1"/>
        <v>6.689772727</v>
      </c>
      <c r="G32" s="169"/>
      <c r="H32" s="61"/>
      <c r="I32" s="55">
        <v>5.583333333333333</v>
      </c>
      <c r="J32" s="63">
        <v>1.164500152881315</v>
      </c>
      <c r="K32" s="281">
        <v>-2.42</v>
      </c>
      <c r="L32" s="184"/>
      <c r="M32" s="61"/>
      <c r="N32" s="55">
        <v>7.166666666666667</v>
      </c>
      <c r="O32" s="236">
        <v>1.1598439960779618</v>
      </c>
      <c r="P32" s="57">
        <v>0.16666666666666696</v>
      </c>
      <c r="Q32" s="184"/>
      <c r="R32" s="61"/>
      <c r="S32" s="186">
        <v>6.409090909090909</v>
      </c>
      <c r="T32" s="192">
        <v>0.9700046860242948</v>
      </c>
      <c r="U32" s="188">
        <v>-1.0909090909090908</v>
      </c>
      <c r="V32" s="184"/>
      <c r="W32" s="61"/>
      <c r="X32" s="55">
        <v>7.6</v>
      </c>
      <c r="Y32" s="63">
        <v>1.0555973258234952</v>
      </c>
      <c r="Z32" s="57">
        <v>-1.4000000000000004</v>
      </c>
      <c r="AA32" s="190"/>
      <c r="AB32" s="190"/>
      <c r="AC32" s="190"/>
    </row>
    <row r="33" ht="52.5" customHeight="1">
      <c r="A33" s="180"/>
      <c r="B33" s="61"/>
      <c r="C33" s="140" t="s">
        <v>64</v>
      </c>
      <c r="D33" s="164"/>
      <c r="E33" s="61"/>
      <c r="F33" s="55">
        <f t="shared" si="1"/>
        <v>7.099756494</v>
      </c>
      <c r="G33" s="169"/>
      <c r="H33" s="61"/>
      <c r="I33" s="55">
        <v>6.875</v>
      </c>
      <c r="J33" s="57">
        <v>0.9564375187500369</v>
      </c>
      <c r="K33" s="282">
        <v>-3.13</v>
      </c>
      <c r="L33" s="184"/>
      <c r="M33" s="61"/>
      <c r="N33" s="55">
        <v>7.05</v>
      </c>
      <c r="O33" s="57">
        <v>0.9073115703628415</v>
      </c>
      <c r="P33" s="57">
        <v>0.04999999999999982</v>
      </c>
      <c r="Q33" s="184"/>
      <c r="R33" s="61"/>
      <c r="S33" s="186">
        <v>7.045454545454546</v>
      </c>
      <c r="T33" s="192">
        <v>1.059588256223743</v>
      </c>
      <c r="U33" s="188">
        <v>-1.9545454545454541</v>
      </c>
      <c r="V33" s="184"/>
      <c r="W33" s="61"/>
      <c r="X33" s="55">
        <v>7.428571428571429</v>
      </c>
      <c r="Y33" s="269">
        <v>1.3424596091494905</v>
      </c>
      <c r="Z33" s="271">
        <v>-0.5714285714285712</v>
      </c>
      <c r="AA33" s="190"/>
      <c r="AB33" s="190"/>
      <c r="AC33" s="190"/>
    </row>
    <row r="34" ht="52.5" customHeight="1">
      <c r="A34" s="180"/>
      <c r="B34" s="61"/>
      <c r="C34" s="140" t="s">
        <v>65</v>
      </c>
      <c r="D34" s="164"/>
      <c r="E34" s="61"/>
      <c r="F34" s="55">
        <f t="shared" si="1"/>
        <v>6.599675325</v>
      </c>
      <c r="G34" s="169"/>
      <c r="H34" s="61"/>
      <c r="I34" s="55">
        <v>6.75</v>
      </c>
      <c r="J34" s="63">
        <v>1.2154310870109943</v>
      </c>
      <c r="K34" s="283">
        <v>-1.25</v>
      </c>
      <c r="L34" s="184"/>
      <c r="M34" s="61"/>
      <c r="N34" s="55">
        <v>7.1</v>
      </c>
      <c r="O34" s="129">
        <v>0.9296696802013681</v>
      </c>
      <c r="P34" s="57">
        <v>-0.9000000000000004</v>
      </c>
      <c r="Q34" s="184"/>
      <c r="R34" s="61"/>
      <c r="S34" s="186">
        <v>5.7272727272727275</v>
      </c>
      <c r="T34" s="284">
        <v>0.8174238913695991</v>
      </c>
      <c r="U34" s="285">
        <v>-1.2727272727272725</v>
      </c>
      <c r="V34" s="184"/>
      <c r="W34" s="61"/>
      <c r="X34" s="55">
        <v>6.821428571428571</v>
      </c>
      <c r="Y34" s="269">
        <v>0.8229202890911137</v>
      </c>
      <c r="Z34" s="271">
        <v>-0.17857142857142883</v>
      </c>
      <c r="AA34" s="190"/>
      <c r="AB34" s="190"/>
      <c r="AC34" s="190"/>
    </row>
    <row r="35" ht="52.5" customHeight="1">
      <c r="A35" s="180"/>
      <c r="B35" s="61"/>
      <c r="C35" s="140" t="s">
        <v>66</v>
      </c>
      <c r="D35" s="164"/>
      <c r="E35" s="61"/>
      <c r="F35" s="55">
        <f t="shared" si="1"/>
        <v>7.599188312</v>
      </c>
      <c r="G35" s="286"/>
      <c r="H35" s="61"/>
      <c r="I35" s="55">
        <v>6.916666666666667</v>
      </c>
      <c r="J35" s="101">
        <v>1.5642792899510296</v>
      </c>
      <c r="K35" s="283">
        <v>-2.08</v>
      </c>
      <c r="L35" s="184"/>
      <c r="M35" s="61"/>
      <c r="N35" s="55">
        <v>7.733333333333333</v>
      </c>
      <c r="O35" s="183">
        <v>1.486446705914413</v>
      </c>
      <c r="P35" s="57">
        <v>1.7333333333333334</v>
      </c>
      <c r="Q35" s="184"/>
      <c r="R35" s="61"/>
      <c r="S35" s="186">
        <v>7.818181818181818</v>
      </c>
      <c r="T35" s="192">
        <v>1.5374122295716146</v>
      </c>
      <c r="U35" s="188">
        <v>-2.1818181818181817</v>
      </c>
      <c r="V35" s="184"/>
      <c r="W35" s="61"/>
      <c r="X35" s="55">
        <v>7.928571428571429</v>
      </c>
      <c r="Y35" s="129">
        <v>1.542439911024374</v>
      </c>
      <c r="Z35" s="185">
        <v>-2.071428571428571</v>
      </c>
      <c r="AA35" s="190"/>
      <c r="AB35" s="190"/>
      <c r="AC35" s="190"/>
    </row>
    <row r="36" ht="52.5" customHeight="1">
      <c r="A36" s="180"/>
      <c r="B36" s="69"/>
      <c r="C36" s="140" t="s">
        <v>67</v>
      </c>
      <c r="D36" s="164"/>
      <c r="E36" s="69"/>
      <c r="F36" s="55">
        <f t="shared" si="1"/>
        <v>6.491396104</v>
      </c>
      <c r="G36" s="286"/>
      <c r="H36" s="69"/>
      <c r="I36" s="55">
        <v>5.75</v>
      </c>
      <c r="J36" s="93">
        <v>0.8660254037844386</v>
      </c>
      <c r="K36" s="146">
        <v>-7.0</v>
      </c>
      <c r="L36" s="184"/>
      <c r="M36" s="61"/>
      <c r="N36" s="55">
        <v>6.8</v>
      </c>
      <c r="O36" s="87">
        <v>1.2649110640673518</v>
      </c>
      <c r="P36" s="287">
        <v>1.7999999999999998</v>
      </c>
      <c r="Q36" s="184"/>
      <c r="R36" s="69"/>
      <c r="S36" s="186">
        <v>6.2727272727272725</v>
      </c>
      <c r="T36" s="288">
        <v>1.1908743922772955</v>
      </c>
      <c r="U36" s="188">
        <v>2.2727272727272725</v>
      </c>
      <c r="V36" s="184"/>
      <c r="W36" s="69"/>
      <c r="X36" s="55">
        <v>7.142857142857143</v>
      </c>
      <c r="Y36" s="67">
        <v>1.292412345317728</v>
      </c>
      <c r="Z36" s="200">
        <v>-1.8571428571428568</v>
      </c>
      <c r="AA36" s="190"/>
      <c r="AB36" s="190"/>
      <c r="AC36" s="190"/>
    </row>
    <row r="37" ht="26.25" customHeight="1">
      <c r="A37" s="180"/>
      <c r="B37" s="289"/>
      <c r="C37" s="169"/>
      <c r="D37" s="164"/>
      <c r="E37" s="290" t="s">
        <v>68</v>
      </c>
      <c r="F37" s="291">
        <f>AVERAGE(F4:F36)</f>
        <v>6.661108242</v>
      </c>
      <c r="G37" s="286"/>
      <c r="H37" s="292" t="s">
        <v>68</v>
      </c>
      <c r="I37" s="291">
        <f>AVERAGE(I4:I36)</f>
        <v>6.321338384</v>
      </c>
      <c r="J37" s="293" t="s">
        <v>69</v>
      </c>
      <c r="K37" s="294">
        <f>(abs(K4)+abs(K5)+abs(K6)+abs(K7)+abs(K8)+abs(K9)+abs(K10)+abs(K11)+abs(K12)+abs(K13)+abs(K14)+abs(K15)+abs(K16)+abs(K17)+abs(K18)+abs(K19)+abs(K20)+abs(K21)+abs(K22)+abs(K23)+abs(K24)+abs(K25)+abs(K26)+abs(K27)+abs(K28)+abs(K29)+abs(K30)+abs(K31)+abs(K32)+abs(K33)+abs(K34)+abs(K35)+abs(K36))/COUNTA(K4:K36)</f>
        <v>1.362424242</v>
      </c>
      <c r="L37" s="295"/>
      <c r="M37" s="296" t="s">
        <v>68</v>
      </c>
      <c r="N37" s="291">
        <f>AVERAGE(N4:N36)</f>
        <v>6.871139971</v>
      </c>
      <c r="O37" s="293" t="s">
        <v>69</v>
      </c>
      <c r="P37" s="207">
        <f>(abs(P4)+abs(P5)+abs(P6)+abs(P7)+abs(P8)+abs(P9)+abs(P10)+abs(P11)+abs(P12)+abs(P13)+abs(P14)+ abs(P15)+abs(P16)+abs(P18)+abs(P19)+abs(P20)+abs(P21)+abs(P22)+abs(P23)+abs(P24)+abs(P25)+abs(P26)+abs(P27)+abs(P28)+abs(P29)+abs(P30)+abs(P31)+abs(P32)+abs(P33)+abs(P34)+abs(P35)+abs(P36))/COUNTA(P4:P36)</f>
        <v>0.6347763348</v>
      </c>
      <c r="Q37" s="295"/>
      <c r="R37" s="296" t="s">
        <v>68</v>
      </c>
      <c r="S37" s="291">
        <f>AVERAGE(S4:S36)</f>
        <v>6.41046832</v>
      </c>
      <c r="T37" s="293" t="s">
        <v>69</v>
      </c>
      <c r="U37" s="207">
        <f>(abs(U4)+abs(U5)+abs(U6)+abs(U7)+abs(U8)+abs(U9)+abs(U10)+abs(U11)+abs(U12)+abs(U13)+abs(U14)+ abs(U15)+abs(U16)+abs(U18)+abs(U19)+abs(U20)+abs(U21)+abs(U22)+abs(U23)+abs(U24)+abs(U25)+abs(U26)+abs(U27)+abs(U28)+abs(U29)+abs(U30)+abs(U31)+abs(U32)+abs(U33)+abs(U34)+abs(U35)+abs(U36))/COUNTA(U4:U36)</f>
        <v>1.093663912</v>
      </c>
      <c r="V37" s="295"/>
      <c r="W37" s="296" t="s">
        <v>68</v>
      </c>
      <c r="X37" s="291">
        <f>AVERAGE(X4:X36)</f>
        <v>7.041486291</v>
      </c>
      <c r="Y37" s="293" t="s">
        <v>69</v>
      </c>
      <c r="Z37" s="297">
        <f>(abs(Z4)+abs(Z5)+abs(Z6)+abs(Z7)+abs(Z8)+abs(Z9)+abs(Z10)+abs(Z11)+abs(Z12)+abs(Z13)+abs(Z14)+abs(Z15)+abs(Z16)+abs(Z17)+abs(Z18)+abs(Z19)+abs(Z20)+abs(Z21)+abs(Z22)+abs(Z23)+abs(Z24)+abs(Z25)+abs(Z26)+abs(Z27)+abs(Z28)+abs(Z29)+abs(Z30)+abs(Z31)+abs(Z32)+abs(Z33)+abs(Z34)+abs(Z35)+abs(Z36))/COUNTA(Z4:Z36)</f>
        <v>0.8048340548</v>
      </c>
      <c r="AA37" s="295"/>
      <c r="AB37" s="295"/>
      <c r="AC37" s="295"/>
    </row>
    <row r="38" ht="26.25" customHeight="1">
      <c r="A38" s="180"/>
      <c r="B38" s="289"/>
      <c r="C38" s="169"/>
      <c r="D38" s="164"/>
      <c r="E38" s="69"/>
      <c r="F38" s="69"/>
      <c r="G38" s="286"/>
      <c r="H38" s="69"/>
      <c r="I38" s="69"/>
      <c r="J38" s="69"/>
      <c r="K38" s="69"/>
      <c r="L38" s="295"/>
      <c r="M38" s="69"/>
      <c r="N38" s="69"/>
      <c r="O38" s="69"/>
      <c r="P38" s="69"/>
      <c r="Q38" s="295"/>
      <c r="R38" s="69"/>
      <c r="S38" s="69"/>
      <c r="T38" s="69"/>
      <c r="U38" s="69"/>
      <c r="V38" s="295"/>
      <c r="W38" s="69"/>
      <c r="X38" s="69"/>
      <c r="Y38" s="69"/>
      <c r="Z38" s="69"/>
      <c r="AA38" s="295"/>
      <c r="AB38" s="295"/>
      <c r="AC38" s="295"/>
    </row>
    <row r="39" ht="26.25" customHeight="1">
      <c r="A39" s="180"/>
      <c r="B39" s="289"/>
      <c r="C39" s="169"/>
      <c r="D39" s="164"/>
      <c r="E39" s="298"/>
      <c r="F39" s="298"/>
      <c r="G39" s="169"/>
      <c r="H39" s="299"/>
      <c r="I39" s="299"/>
      <c r="J39" s="299"/>
      <c r="K39" s="299"/>
      <c r="L39" s="295"/>
      <c r="M39" s="299"/>
      <c r="N39" s="299"/>
      <c r="O39" s="299"/>
      <c r="P39" s="299"/>
      <c r="Q39" s="295"/>
      <c r="R39" s="299"/>
      <c r="S39" s="299"/>
      <c r="T39" s="299"/>
      <c r="U39" s="299"/>
      <c r="V39" s="295"/>
      <c r="W39" s="299"/>
      <c r="X39" s="299"/>
      <c r="Y39" s="299"/>
      <c r="Z39" s="299"/>
      <c r="AA39" s="295"/>
      <c r="AB39" s="295"/>
      <c r="AC39" s="295"/>
    </row>
    <row r="40" ht="21.75" customHeight="1">
      <c r="A40" s="180"/>
      <c r="B40" s="289"/>
      <c r="C40" s="300" t="s">
        <v>70</v>
      </c>
      <c r="D40" s="298"/>
      <c r="E40" s="298"/>
      <c r="F40" s="298"/>
      <c r="G40" s="169"/>
      <c r="H40" s="301" t="s">
        <v>83</v>
      </c>
      <c r="I40" s="160"/>
      <c r="J40" s="160"/>
      <c r="K40" s="161"/>
      <c r="L40" s="302"/>
      <c r="M40" s="301" t="s">
        <v>84</v>
      </c>
      <c r="N40" s="160"/>
      <c r="O40" s="160"/>
      <c r="P40" s="161"/>
      <c r="Q40" s="302"/>
      <c r="R40" s="301" t="s">
        <v>85</v>
      </c>
      <c r="S40" s="160"/>
      <c r="T40" s="160"/>
      <c r="U40" s="161"/>
      <c r="V40" s="302"/>
      <c r="W40" s="301" t="s">
        <v>86</v>
      </c>
      <c r="X40" s="160"/>
      <c r="Y40" s="160"/>
      <c r="Z40" s="161"/>
      <c r="AA40" s="303"/>
      <c r="AB40" s="303"/>
      <c r="AC40" s="303"/>
    </row>
    <row r="41" ht="21.75" customHeight="1">
      <c r="A41" s="304"/>
      <c r="B41" s="289"/>
      <c r="C41" s="305" t="s">
        <v>73</v>
      </c>
      <c r="D41" s="298"/>
      <c r="E41" s="298"/>
      <c r="F41" s="298"/>
      <c r="G41" s="169"/>
      <c r="H41" s="306" t="s">
        <v>87</v>
      </c>
      <c r="I41" s="307"/>
      <c r="J41" s="307"/>
      <c r="K41" s="308"/>
      <c r="L41" s="302"/>
      <c r="M41" s="306" t="s">
        <v>88</v>
      </c>
      <c r="N41" s="307"/>
      <c r="O41" s="307"/>
      <c r="P41" s="308"/>
      <c r="Q41" s="302"/>
      <c r="R41" s="306" t="s">
        <v>89</v>
      </c>
      <c r="S41" s="307"/>
      <c r="T41" s="307"/>
      <c r="U41" s="308"/>
      <c r="V41" s="302"/>
      <c r="W41" s="306" t="s">
        <v>90</v>
      </c>
      <c r="X41" s="307"/>
      <c r="Y41" s="307"/>
      <c r="Z41" s="308"/>
      <c r="AA41" s="303"/>
      <c r="AB41" s="303"/>
      <c r="AC41" s="303"/>
    </row>
    <row r="42">
      <c r="A42" s="169"/>
      <c r="B42" s="289"/>
      <c r="C42" s="169"/>
      <c r="D42" s="298"/>
      <c r="E42" s="298"/>
      <c r="F42" s="298"/>
      <c r="G42" s="169"/>
      <c r="H42" s="169"/>
      <c r="I42" s="169"/>
      <c r="J42" s="169"/>
      <c r="K42" s="169"/>
      <c r="L42" s="286"/>
      <c r="M42" s="169"/>
      <c r="N42" s="169"/>
      <c r="O42" s="169"/>
      <c r="P42" s="169"/>
      <c r="Q42" s="286"/>
      <c r="R42" s="169"/>
      <c r="S42" s="169"/>
      <c r="T42" s="169"/>
      <c r="U42" s="169"/>
      <c r="V42" s="286"/>
      <c r="W42" s="169"/>
      <c r="X42" s="169"/>
      <c r="Y42" s="169"/>
      <c r="Z42" s="169"/>
      <c r="AA42" s="286"/>
      <c r="AB42" s="286"/>
      <c r="AC42" s="286"/>
    </row>
    <row r="43" ht="22.5" customHeight="1">
      <c r="A43" s="169"/>
      <c r="B43" s="289"/>
      <c r="C43" s="169"/>
      <c r="D43" s="169"/>
      <c r="E43" s="169"/>
      <c r="F43" s="169"/>
      <c r="G43" s="169"/>
      <c r="H43" s="169"/>
      <c r="I43" s="169"/>
      <c r="J43" s="169"/>
      <c r="K43" s="169"/>
      <c r="L43" s="169"/>
      <c r="M43" s="169"/>
      <c r="N43" s="169"/>
      <c r="O43" s="169"/>
      <c r="P43" s="169"/>
      <c r="Q43" s="169"/>
      <c r="R43" s="169"/>
      <c r="S43" s="169"/>
      <c r="T43" s="169"/>
      <c r="U43" s="169"/>
      <c r="V43" s="169"/>
      <c r="W43" s="169"/>
      <c r="X43" s="169"/>
      <c r="Y43" s="169"/>
      <c r="Z43" s="169"/>
      <c r="AA43" s="169"/>
      <c r="AB43" s="169"/>
      <c r="AC43" s="169"/>
    </row>
  </sheetData>
  <mergeCells count="67">
    <mergeCell ref="P37:P38"/>
    <mergeCell ref="M40:P40"/>
    <mergeCell ref="R40:U40"/>
    <mergeCell ref="M41:P41"/>
    <mergeCell ref="R41:U41"/>
    <mergeCell ref="B25:B29"/>
    <mergeCell ref="B30:B36"/>
    <mergeCell ref="H30:H36"/>
    <mergeCell ref="M30:M36"/>
    <mergeCell ref="R30:R36"/>
    <mergeCell ref="O37:O38"/>
    <mergeCell ref="R37:R38"/>
    <mergeCell ref="H40:K40"/>
    <mergeCell ref="H41:K41"/>
    <mergeCell ref="E30:E36"/>
    <mergeCell ref="E37:E38"/>
    <mergeCell ref="F37:F38"/>
    <mergeCell ref="H37:H38"/>
    <mergeCell ref="I37:I38"/>
    <mergeCell ref="J37:J38"/>
    <mergeCell ref="K37:K38"/>
    <mergeCell ref="M2:P2"/>
    <mergeCell ref="M4:M8"/>
    <mergeCell ref="W2:Z2"/>
    <mergeCell ref="W4:W8"/>
    <mergeCell ref="W9:W14"/>
    <mergeCell ref="W15:W20"/>
    <mergeCell ref="W21:W24"/>
    <mergeCell ref="W25:W29"/>
    <mergeCell ref="W30:W36"/>
    <mergeCell ref="E2:F2"/>
    <mergeCell ref="H2:K2"/>
    <mergeCell ref="R2:U2"/>
    <mergeCell ref="B4:B8"/>
    <mergeCell ref="H4:H8"/>
    <mergeCell ref="R4:R8"/>
    <mergeCell ref="B9:B14"/>
    <mergeCell ref="R9:R14"/>
    <mergeCell ref="H21:H24"/>
    <mergeCell ref="H25:H29"/>
    <mergeCell ref="M25:M29"/>
    <mergeCell ref="R25:R29"/>
    <mergeCell ref="H9:H14"/>
    <mergeCell ref="M9:M14"/>
    <mergeCell ref="H15:H20"/>
    <mergeCell ref="M15:M20"/>
    <mergeCell ref="R15:R20"/>
    <mergeCell ref="M21:M24"/>
    <mergeCell ref="R21:R24"/>
    <mergeCell ref="E4:E8"/>
    <mergeCell ref="E9:E14"/>
    <mergeCell ref="B15:B20"/>
    <mergeCell ref="E15:E20"/>
    <mergeCell ref="B21:B24"/>
    <mergeCell ref="E21:E24"/>
    <mergeCell ref="E25:E29"/>
    <mergeCell ref="Y37:Y38"/>
    <mergeCell ref="Z37:Z38"/>
    <mergeCell ref="W40:Z40"/>
    <mergeCell ref="W41:Z41"/>
    <mergeCell ref="M37:M38"/>
    <mergeCell ref="N37:N38"/>
    <mergeCell ref="S37:S38"/>
    <mergeCell ref="T37:T38"/>
    <mergeCell ref="U37:U38"/>
    <mergeCell ref="W37:W38"/>
    <mergeCell ref="X37:X38"/>
  </mergeCells>
  <conditionalFormatting sqref="E4:E36 F4:F42 H4:H36 I4:I39 M4:M36 N4:N39 R4:R36 S4:S39 W4:W36 X4:X39">
    <cfRule type="cellIs" dxfId="1" priority="1" operator="greaterThan">
      <formula>8.0001</formula>
    </cfRule>
  </conditionalFormatting>
  <conditionalFormatting sqref="E4:E36 F4:F42 H4:H36 I4:I39 M4:M36 N4:N39 R4:R36 S4:S39 W4:W36 X4:X39">
    <cfRule type="cellIs" dxfId="2" priority="2" operator="between">
      <formula>7.0001</formula>
      <formula>8</formula>
    </cfRule>
  </conditionalFormatting>
  <conditionalFormatting sqref="E4:E36 F4:F42 H4:H36 I4:I39 M4:M36 N4:N39 R4:R36 S4:S39 W4:W36 X4:X39">
    <cfRule type="cellIs" dxfId="3" priority="3" operator="between">
      <formula>6.50001</formula>
      <formula>7</formula>
    </cfRule>
  </conditionalFormatting>
  <conditionalFormatting sqref="E4:E36 F4:F42 H4:H36 I4:I39 M4:M36 N4:N39 R4:R36 S4:S39 W4:W36 X4:X39">
    <cfRule type="cellIs" dxfId="4" priority="4" operator="between">
      <formula>5.50001</formula>
      <formula>6</formula>
    </cfRule>
  </conditionalFormatting>
  <conditionalFormatting sqref="E4:E31 F4:F42 H4:H31 I4:I36 M4:M31 N4:N36 R4:R31 S4:S36 W4:W31 X4:X36 E33 H33 M33 R33 W33 I39 N39 S39 X39">
    <cfRule type="cellIs" dxfId="5" priority="5" operator="between">
      <formula>6.0001</formula>
      <formula>6.5</formula>
    </cfRule>
  </conditionalFormatting>
  <conditionalFormatting sqref="E4:E36 F4:F42 H4:H36 I4:I39 M4:M36 N4:N39 R4:R36 S4:S39 W4:W36 X4:X39">
    <cfRule type="cellIs" dxfId="6" priority="6" operator="between">
      <formula>0</formula>
      <formula>5.5</formula>
    </cfRule>
  </conditionalFormatting>
  <conditionalFormatting sqref="K4:K38 P4:P38 U4:U38 Z4:Z38">
    <cfRule type="cellIs" dxfId="7" priority="7" operator="lessThan">
      <formula>-0.8</formula>
    </cfRule>
  </conditionalFormatting>
  <conditionalFormatting sqref="K4:K38 P4:P38 U4:U38 Z4:Z38">
    <cfRule type="cellIs" dxfId="8" priority="8" operator="between">
      <formula>-0.8</formula>
      <formula>0.8</formula>
    </cfRule>
  </conditionalFormatting>
  <conditionalFormatting sqref="K4:K38 P4:P38 U4:U38 Z4:Z38">
    <cfRule type="cellIs" dxfId="11" priority="9" operator="greaterThan">
      <formula>0.8</formula>
    </cfRule>
  </conditionalFormatting>
  <conditionalFormatting sqref="G4">
    <cfRule type="colorScale" priority="10">
      <colorScale>
        <cfvo type="min"/>
        <cfvo type="percentile" val="50"/>
        <cfvo type="max"/>
        <color rgb="FF57BB8A"/>
        <color rgb="FFFFD666"/>
        <color rgb="FFE67C73"/>
      </colorScale>
    </cfRule>
  </conditionalFormatting>
  <conditionalFormatting sqref="S37:S38">
    <cfRule type="cellIs" dxfId="10" priority="11" operator="between">
      <formula>6.0001</formula>
      <formula>6.5</formula>
    </cfRule>
  </conditionalFormatting>
  <conditionalFormatting sqref="I37:I38">
    <cfRule type="cellIs" dxfId="10" priority="12" operator="between">
      <formula>6.0001</formula>
      <formula>6.5</formula>
    </cfRule>
  </conditionalFormatting>
  <conditionalFormatting sqref="N37:N38">
    <cfRule type="cellIs" dxfId="10" priority="13" operator="between">
      <formula>6.0001</formula>
      <formula>6.5</formula>
    </cfRule>
  </conditionalFormatting>
  <conditionalFormatting sqref="X37:X38">
    <cfRule type="cellIs" dxfId="10" priority="14" operator="between">
      <formula>6.00001</formula>
      <formula>6.5</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4.43" defaultRowHeight="15.0"/>
  <cols>
    <col customWidth="1" min="1" max="1" width="5.86"/>
    <col customWidth="1" min="2" max="2" width="14.0"/>
    <col customWidth="1" min="3" max="3" width="58.71"/>
    <col customWidth="1" min="4" max="5" width="14.29"/>
    <col customWidth="1" min="6" max="6" width="10.14"/>
    <col customWidth="1" min="7" max="7" width="8.71"/>
    <col customWidth="1" min="8" max="8" width="12.43"/>
    <col customWidth="1" min="9" max="9" width="10.14"/>
    <col customWidth="1" min="10" max="10" width="16.57"/>
    <col customWidth="1" min="11" max="11" width="14.71"/>
    <col customWidth="1" min="12" max="12" width="8.71"/>
    <col customWidth="1" min="13" max="13" width="12.0"/>
    <col customWidth="1" min="14" max="14" width="10.14"/>
    <col customWidth="1" min="15" max="15" width="16.57"/>
    <col customWidth="1" min="16" max="16" width="15.0"/>
    <col customWidth="1" min="17" max="17" width="8.71"/>
    <col customWidth="1" min="18" max="18" width="12.43"/>
    <col customWidth="1" min="19" max="19" width="10.14"/>
    <col customWidth="1" min="20" max="20" width="17.0"/>
    <col customWidth="1" min="21" max="21" width="14.71"/>
    <col customWidth="1" min="22" max="22" width="8.71"/>
    <col customWidth="1" min="23" max="23" width="12.71"/>
    <col customWidth="1" min="24" max="24" width="10.14"/>
    <col customWidth="1" min="25" max="25" width="16.57"/>
    <col customWidth="1" min="26" max="26" width="14.86"/>
    <col customWidth="1" min="27" max="27" width="8.71"/>
    <col customWidth="1" min="28" max="28" width="12.43"/>
    <col customWidth="1" min="29" max="29" width="10.14"/>
    <col customWidth="1" min="30" max="30" width="15.71"/>
    <col customWidth="1" min="31" max="31" width="14.14"/>
    <col customWidth="1" min="32" max="32" width="8.71"/>
    <col customWidth="1" min="33" max="33" width="13.29"/>
    <col customWidth="1" min="34" max="34" width="11.43"/>
    <col customWidth="1" min="35" max="35" width="15.71"/>
    <col customWidth="1" min="36" max="36" width="14.0"/>
    <col customWidth="1" min="37" max="37" width="8.71"/>
    <col customWidth="1" min="38" max="38" width="13.0"/>
    <col customWidth="1" min="39" max="39" width="10.14"/>
    <col customWidth="1" min="40" max="40" width="16.71"/>
    <col customWidth="1" min="41" max="41" width="14.0"/>
    <col customWidth="1" min="42" max="42" width="8.71"/>
    <col customWidth="1" min="43" max="43" width="13.0"/>
    <col customWidth="1" min="44" max="44" width="10.14"/>
    <col customWidth="1" min="45" max="45" width="16.71"/>
    <col customWidth="1" min="46" max="46" width="14.0"/>
    <col customWidth="1" min="47" max="47" width="8.71"/>
    <col customWidth="1" hidden="1" min="48" max="48" width="13.0"/>
    <col customWidth="1" hidden="1" min="49" max="49" width="10.14"/>
    <col customWidth="1" hidden="1" min="50" max="50" width="16.71"/>
    <col customWidth="1" hidden="1" min="51" max="51" width="14.0"/>
    <col customWidth="1" hidden="1" min="52" max="52" width="8.71"/>
    <col customWidth="1" hidden="1" min="53" max="53" width="12.43"/>
    <col customWidth="1" hidden="1" min="54" max="54" width="10.14"/>
    <col customWidth="1" hidden="1" min="55" max="55" width="14.71"/>
    <col customWidth="1" hidden="1" min="56" max="56" width="14.57"/>
    <col customWidth="1" hidden="1" min="57" max="57" width="8.43"/>
    <col customWidth="1" hidden="1" min="58" max="58" width="17.29"/>
    <col customWidth="1" hidden="1" min="59" max="59" width="10.57"/>
    <col customWidth="1" hidden="1" min="60" max="60" width="13.43"/>
    <col customWidth="1" hidden="1" min="61" max="61" width="16.57"/>
    <col customWidth="1" min="62" max="63" width="8.43"/>
  </cols>
  <sheetData>
    <row r="1" ht="22.5" customHeight="1">
      <c r="A1" s="164"/>
      <c r="B1" s="164"/>
      <c r="C1" s="164"/>
      <c r="D1" s="164"/>
      <c r="E1" s="164"/>
      <c r="F1" s="164"/>
      <c r="G1" s="164"/>
      <c r="H1" s="164"/>
      <c r="I1" s="164"/>
      <c r="J1" s="164"/>
      <c r="K1" s="164"/>
      <c r="L1" s="164"/>
      <c r="M1" s="164"/>
      <c r="N1" s="164"/>
      <c r="O1" s="164"/>
      <c r="P1" s="164"/>
      <c r="Q1" s="164"/>
      <c r="R1" s="164"/>
      <c r="S1" s="164"/>
      <c r="T1" s="164"/>
      <c r="U1" s="164"/>
      <c r="V1" s="164"/>
      <c r="W1" s="164"/>
      <c r="X1" s="164"/>
      <c r="Y1" s="164"/>
      <c r="Z1" s="164"/>
      <c r="AA1" s="164"/>
      <c r="AB1" s="164"/>
      <c r="AC1" s="164"/>
      <c r="AD1" s="164"/>
      <c r="AE1" s="164"/>
      <c r="AF1" s="164"/>
      <c r="AG1" s="164"/>
      <c r="AH1" s="164"/>
      <c r="AI1" s="164"/>
      <c r="AJ1" s="164"/>
      <c r="AK1" s="164"/>
      <c r="AL1" s="164"/>
      <c r="AM1" s="164"/>
      <c r="AN1" s="169"/>
      <c r="AO1" s="169"/>
      <c r="AP1" s="169"/>
      <c r="AQ1" s="169"/>
      <c r="AR1" s="169"/>
      <c r="AS1" s="169"/>
      <c r="AT1" s="169"/>
      <c r="AU1" s="169"/>
      <c r="AV1" s="169"/>
      <c r="AW1" s="169"/>
      <c r="AX1" s="169"/>
      <c r="AY1" s="169"/>
      <c r="AZ1" s="164"/>
      <c r="BA1" s="164"/>
      <c r="BB1" s="164"/>
      <c r="BC1" s="164"/>
      <c r="BD1" s="164"/>
      <c r="BE1" s="164"/>
      <c r="BF1" s="164"/>
      <c r="BG1" s="164"/>
      <c r="BH1" s="164"/>
      <c r="BI1" s="164"/>
      <c r="BJ1" s="164"/>
      <c r="BK1" s="164"/>
    </row>
    <row r="2" ht="46.5" customHeight="1">
      <c r="A2" s="165"/>
      <c r="B2" s="166" t="s">
        <v>76</v>
      </c>
      <c r="C2" s="167" t="s">
        <v>91</v>
      </c>
      <c r="D2" s="164"/>
      <c r="E2" s="168" t="s">
        <v>92</v>
      </c>
      <c r="F2" s="44"/>
      <c r="G2" s="169"/>
      <c r="H2" s="168" t="s">
        <v>93</v>
      </c>
      <c r="I2" s="43"/>
      <c r="J2" s="43"/>
      <c r="K2" s="44"/>
      <c r="L2" s="178"/>
      <c r="M2" s="309" t="s">
        <v>94</v>
      </c>
      <c r="N2" s="310"/>
      <c r="O2" s="310"/>
      <c r="P2" s="311"/>
      <c r="Q2" s="178"/>
      <c r="R2" s="309" t="s">
        <v>95</v>
      </c>
      <c r="S2" s="310"/>
      <c r="T2" s="310"/>
      <c r="U2" s="311"/>
      <c r="V2" s="178"/>
      <c r="W2" s="309" t="s">
        <v>96</v>
      </c>
      <c r="X2" s="310"/>
      <c r="Y2" s="310"/>
      <c r="Z2" s="311"/>
      <c r="AA2" s="178"/>
      <c r="AB2" s="309" t="s">
        <v>97</v>
      </c>
      <c r="AC2" s="310"/>
      <c r="AD2" s="310"/>
      <c r="AE2" s="311"/>
      <c r="AF2" s="178"/>
      <c r="AG2" s="309" t="s">
        <v>98</v>
      </c>
      <c r="AH2" s="310"/>
      <c r="AI2" s="310"/>
      <c r="AJ2" s="311"/>
      <c r="AK2" s="178"/>
      <c r="AL2" s="309" t="s">
        <v>99</v>
      </c>
      <c r="AM2" s="310"/>
      <c r="AN2" s="310"/>
      <c r="AO2" s="311"/>
      <c r="AP2" s="312"/>
      <c r="AQ2" s="313" t="s">
        <v>100</v>
      </c>
      <c r="AR2" s="314"/>
      <c r="AS2" s="314"/>
      <c r="AT2" s="315"/>
      <c r="AU2" s="312"/>
      <c r="AV2" s="309" t="s">
        <v>101</v>
      </c>
      <c r="AW2" s="310"/>
      <c r="AX2" s="310"/>
      <c r="AY2" s="311"/>
      <c r="AZ2" s="169"/>
      <c r="BA2" s="309" t="s">
        <v>102</v>
      </c>
      <c r="BB2" s="310"/>
      <c r="BC2" s="310"/>
      <c r="BD2" s="311"/>
      <c r="BE2" s="316"/>
      <c r="BF2" s="309" t="s">
        <v>93</v>
      </c>
      <c r="BG2" s="310"/>
      <c r="BH2" s="310"/>
      <c r="BI2" s="311"/>
      <c r="BJ2" s="316"/>
      <c r="BK2" s="316"/>
    </row>
    <row r="3" ht="33.0" customHeight="1">
      <c r="A3" s="171"/>
      <c r="B3" s="172"/>
      <c r="C3" s="172"/>
      <c r="D3" s="164"/>
      <c r="E3" s="173" t="s">
        <v>27</v>
      </c>
      <c r="F3" s="174" t="s">
        <v>4</v>
      </c>
      <c r="G3" s="169"/>
      <c r="H3" s="175" t="s">
        <v>27</v>
      </c>
      <c r="I3" s="176" t="s">
        <v>4</v>
      </c>
      <c r="J3" s="317" t="s">
        <v>5</v>
      </c>
      <c r="K3" s="177" t="s">
        <v>28</v>
      </c>
      <c r="L3" s="178"/>
      <c r="M3" s="179" t="s">
        <v>27</v>
      </c>
      <c r="N3" s="318" t="s">
        <v>4</v>
      </c>
      <c r="O3" s="176" t="s">
        <v>5</v>
      </c>
      <c r="P3" s="177" t="s">
        <v>28</v>
      </c>
      <c r="Q3" s="178"/>
      <c r="R3" s="179" t="s">
        <v>27</v>
      </c>
      <c r="S3" s="318" t="s">
        <v>4</v>
      </c>
      <c r="T3" s="176" t="s">
        <v>5</v>
      </c>
      <c r="U3" s="177" t="s">
        <v>28</v>
      </c>
      <c r="V3" s="178"/>
      <c r="W3" s="179" t="s">
        <v>27</v>
      </c>
      <c r="X3" s="319" t="s">
        <v>4</v>
      </c>
      <c r="Y3" s="176" t="s">
        <v>5</v>
      </c>
      <c r="Z3" s="177" t="s">
        <v>28</v>
      </c>
      <c r="AA3" s="178"/>
      <c r="AB3" s="179" t="s">
        <v>27</v>
      </c>
      <c r="AC3" s="319" t="s">
        <v>4</v>
      </c>
      <c r="AD3" s="176" t="s">
        <v>5</v>
      </c>
      <c r="AE3" s="177" t="s">
        <v>28</v>
      </c>
      <c r="AF3" s="178"/>
      <c r="AG3" s="179" t="s">
        <v>27</v>
      </c>
      <c r="AH3" s="319" t="s">
        <v>4</v>
      </c>
      <c r="AI3" s="176" t="s">
        <v>5</v>
      </c>
      <c r="AJ3" s="177" t="s">
        <v>28</v>
      </c>
      <c r="AK3" s="178"/>
      <c r="AL3" s="179" t="s">
        <v>27</v>
      </c>
      <c r="AM3" s="319" t="s">
        <v>4</v>
      </c>
      <c r="AN3" s="176" t="s">
        <v>5</v>
      </c>
      <c r="AO3" s="177" t="s">
        <v>28</v>
      </c>
      <c r="AP3" s="320"/>
      <c r="AQ3" s="179" t="s">
        <v>27</v>
      </c>
      <c r="AR3" s="319" t="s">
        <v>4</v>
      </c>
      <c r="AS3" s="321" t="s">
        <v>5</v>
      </c>
      <c r="AT3" s="322" t="s">
        <v>28</v>
      </c>
      <c r="AU3" s="320"/>
      <c r="AV3" s="179" t="s">
        <v>27</v>
      </c>
      <c r="AW3" s="321" t="s">
        <v>4</v>
      </c>
      <c r="AX3" s="321" t="s">
        <v>5</v>
      </c>
      <c r="AY3" s="322" t="s">
        <v>28</v>
      </c>
      <c r="AZ3" s="323"/>
      <c r="BA3" s="175" t="s">
        <v>27</v>
      </c>
      <c r="BB3" s="318" t="s">
        <v>4</v>
      </c>
      <c r="BC3" s="176" t="s">
        <v>5</v>
      </c>
      <c r="BD3" s="177" t="s">
        <v>28</v>
      </c>
      <c r="BE3" s="324"/>
      <c r="BF3" s="175" t="s">
        <v>27</v>
      </c>
      <c r="BG3" s="318" t="s">
        <v>4</v>
      </c>
      <c r="BH3" s="176" t="s">
        <v>5</v>
      </c>
      <c r="BI3" s="177" t="s">
        <v>28</v>
      </c>
      <c r="BJ3" s="324"/>
      <c r="BK3" s="324"/>
    </row>
    <row r="4" ht="52.5" customHeight="1">
      <c r="A4" s="180"/>
      <c r="B4" s="325" t="s">
        <v>29</v>
      </c>
      <c r="C4" s="53" t="s">
        <v>30</v>
      </c>
      <c r="D4" s="164"/>
      <c r="E4" s="54">
        <f>AVERAGE(F4:F8)</f>
        <v>6.562410469</v>
      </c>
      <c r="F4" s="326">
        <f t="shared" ref="F4:F36" si="1">AVERAGE(I4,N4,S4,X4,AC4,AH4,AM4,AR4)</f>
        <v>6.612623984</v>
      </c>
      <c r="G4" s="191"/>
      <c r="H4" s="54">
        <f>AVERAGE(I4:I7)</f>
        <v>6.769230769</v>
      </c>
      <c r="I4" s="55">
        <v>6.538461538461538</v>
      </c>
      <c r="J4" s="67">
        <v>0.9674179220468453</v>
      </c>
      <c r="K4" s="327">
        <v>-0.4615384615384617</v>
      </c>
      <c r="L4" s="184"/>
      <c r="M4" s="328">
        <f>AVERAGE(N4:N7)</f>
        <v>5.68125</v>
      </c>
      <c r="N4" s="55">
        <v>5.1875</v>
      </c>
      <c r="O4" s="101">
        <v>0.8341662504161466</v>
      </c>
      <c r="P4" s="57">
        <v>1.1875</v>
      </c>
      <c r="Q4" s="184"/>
      <c r="R4" s="328">
        <f>AVERAGE(S4:S7)</f>
        <v>6.732142857</v>
      </c>
      <c r="S4" s="55">
        <v>6.714285714285714</v>
      </c>
      <c r="T4" s="57">
        <v>0.9138735334633754</v>
      </c>
      <c r="U4" s="68">
        <v>-0.2857142857142856</v>
      </c>
      <c r="V4" s="184"/>
      <c r="W4" s="329">
        <f>AVERAGE(X4:X8)</f>
        <v>7.077777778</v>
      </c>
      <c r="X4" s="330">
        <v>7.333333333333333</v>
      </c>
      <c r="Y4" s="94">
        <v>0.9074852129730301</v>
      </c>
      <c r="Z4" s="57">
        <v>-0.666666666666667</v>
      </c>
      <c r="AA4" s="184"/>
      <c r="AB4" s="329">
        <f>AVERAGE(AC4:AC7)</f>
        <v>7.310526316</v>
      </c>
      <c r="AC4" s="330">
        <v>7.2631578947368425</v>
      </c>
      <c r="AD4" s="84">
        <v>0.9184591724524221</v>
      </c>
      <c r="AE4" s="57">
        <v>1.2631578947368425</v>
      </c>
      <c r="AF4" s="184"/>
      <c r="AG4" s="329">
        <f>AVERAGE(AH4:AH7)</f>
        <v>6.308823529</v>
      </c>
      <c r="AH4" s="330">
        <v>6.4411764705882355</v>
      </c>
      <c r="AI4" s="57">
        <v>0.8993461677306269</v>
      </c>
      <c r="AJ4" s="57">
        <v>-0.5588235294117645</v>
      </c>
      <c r="AK4" s="184"/>
      <c r="AL4" s="329">
        <f>AVERAGE(AM4:AM7)</f>
        <v>6.980769231</v>
      </c>
      <c r="AM4" s="330">
        <v>7.3076923076923075</v>
      </c>
      <c r="AN4" s="119">
        <v>1.0315534712764842</v>
      </c>
      <c r="AO4" s="57">
        <v>0.3076923076923075</v>
      </c>
      <c r="AP4" s="184"/>
      <c r="AQ4" s="329">
        <f>AVERAGE(AR4:AR7)</f>
        <v>6.134615385</v>
      </c>
      <c r="AR4" s="326">
        <v>6.115384615384615</v>
      </c>
      <c r="AS4" s="331">
        <v>0.5828752780343234</v>
      </c>
      <c r="AT4" s="332">
        <v>-0.884615384615385</v>
      </c>
      <c r="AU4" s="184"/>
      <c r="AV4" s="329">
        <f>AVERAGE(AW4:AW7)</f>
        <v>7.053571429</v>
      </c>
      <c r="AW4" s="326">
        <v>6.285714285714286</v>
      </c>
      <c r="AX4" s="333">
        <v>0.6112498455021269</v>
      </c>
      <c r="AY4" s="334">
        <v>1.2857142857142856</v>
      </c>
      <c r="AZ4" s="335"/>
      <c r="BA4" s="54">
        <f>AVERAGE(BB4:BB7)</f>
        <v>7.6675</v>
      </c>
      <c r="BB4" s="55">
        <v>7.64</v>
      </c>
      <c r="BC4" s="57">
        <v>0.63</v>
      </c>
      <c r="BD4" s="57">
        <v>-0.36</v>
      </c>
      <c r="BE4" s="336"/>
      <c r="BF4" s="54">
        <f>AVERAGE(BG4:BG7)</f>
        <v>7.791666667</v>
      </c>
      <c r="BG4" s="55">
        <v>7.833333333333333</v>
      </c>
      <c r="BH4" s="57">
        <v>0.9374368665610919</v>
      </c>
      <c r="BI4" s="57">
        <v>-0.16666666666666696</v>
      </c>
      <c r="BJ4" s="336"/>
      <c r="BK4" s="336"/>
    </row>
    <row r="5" ht="52.5" customHeight="1">
      <c r="A5" s="180"/>
      <c r="B5" s="61"/>
      <c r="C5" s="53" t="s">
        <v>31</v>
      </c>
      <c r="D5" s="164"/>
      <c r="E5" s="61"/>
      <c r="F5" s="326">
        <f t="shared" si="1"/>
        <v>6.154433058</v>
      </c>
      <c r="G5" s="191"/>
      <c r="H5" s="61"/>
      <c r="I5" s="55">
        <v>6.153846153846154</v>
      </c>
      <c r="J5" s="219">
        <v>1.0681880176381127</v>
      </c>
      <c r="K5" s="57">
        <v>-0.8461538461538458</v>
      </c>
      <c r="L5" s="184"/>
      <c r="N5" s="55">
        <v>5.0625</v>
      </c>
      <c r="O5" s="129">
        <v>0.7719024117939607</v>
      </c>
      <c r="P5" s="57">
        <v>1.0625</v>
      </c>
      <c r="Q5" s="184"/>
      <c r="S5" s="55">
        <v>5.5</v>
      </c>
      <c r="T5" s="337">
        <v>0.5188745216627708</v>
      </c>
      <c r="U5" s="57">
        <v>0.5</v>
      </c>
      <c r="V5" s="184"/>
      <c r="W5" s="338"/>
      <c r="X5" s="330">
        <v>7.055555555555555</v>
      </c>
      <c r="Y5" s="56">
        <v>0.9835244081556435</v>
      </c>
      <c r="Z5" s="256">
        <v>-1.4444444444444446</v>
      </c>
      <c r="AA5" s="184"/>
      <c r="AB5" s="338"/>
      <c r="AC5" s="330">
        <v>6.578947368421052</v>
      </c>
      <c r="AD5" s="56">
        <v>0.8377078165833909</v>
      </c>
      <c r="AE5" s="57">
        <v>0.5789473684210522</v>
      </c>
      <c r="AF5" s="184"/>
      <c r="AG5" s="338"/>
      <c r="AH5" s="330">
        <v>6.0</v>
      </c>
      <c r="AI5" s="339">
        <v>1.015504800579495</v>
      </c>
      <c r="AJ5" s="213">
        <v>-1.0</v>
      </c>
      <c r="AK5" s="184"/>
      <c r="AL5" s="338"/>
      <c r="AM5" s="330">
        <v>6.653846153846154</v>
      </c>
      <c r="AN5" s="63">
        <v>1.0284416890093029</v>
      </c>
      <c r="AO5" s="57">
        <v>0.6538461538461542</v>
      </c>
      <c r="AP5" s="184"/>
      <c r="AQ5" s="338"/>
      <c r="AR5" s="326">
        <v>6.230769230769231</v>
      </c>
      <c r="AS5" s="340">
        <v>0.8320502943378436</v>
      </c>
      <c r="AT5" s="341">
        <v>-0.7692307692307692</v>
      </c>
      <c r="AU5" s="184"/>
      <c r="AV5" s="338"/>
      <c r="AW5" s="326">
        <v>6.142857142857143</v>
      </c>
      <c r="AX5" s="342">
        <v>0.9492622930986467</v>
      </c>
      <c r="AY5" s="343">
        <v>0.14285714285714324</v>
      </c>
      <c r="AZ5" s="335"/>
      <c r="BA5" s="61"/>
      <c r="BB5" s="55">
        <v>7.5</v>
      </c>
      <c r="BC5" s="344">
        <v>1.09</v>
      </c>
      <c r="BD5" s="57">
        <v>-0.5</v>
      </c>
      <c r="BE5" s="336"/>
      <c r="BF5" s="61"/>
      <c r="BG5" s="55">
        <v>7.0</v>
      </c>
      <c r="BH5" s="84">
        <v>1.2060453783110543</v>
      </c>
      <c r="BI5" s="57">
        <v>0.0</v>
      </c>
      <c r="BJ5" s="336"/>
      <c r="BK5" s="336"/>
    </row>
    <row r="6" ht="52.5" customHeight="1">
      <c r="A6" s="180"/>
      <c r="B6" s="61"/>
      <c r="C6" s="53" t="s">
        <v>32</v>
      </c>
      <c r="D6" s="164"/>
      <c r="E6" s="61"/>
      <c r="F6" s="326">
        <f t="shared" si="1"/>
        <v>6.955824439</v>
      </c>
      <c r="G6" s="191"/>
      <c r="H6" s="61"/>
      <c r="I6" s="55">
        <v>7.230769230769231</v>
      </c>
      <c r="J6" s="84">
        <v>0.8320502943378437</v>
      </c>
      <c r="K6" s="57">
        <v>-0.7692307692307692</v>
      </c>
      <c r="L6" s="184"/>
      <c r="N6" s="55">
        <v>6.0375</v>
      </c>
      <c r="O6" s="57">
        <v>0.9358596760910973</v>
      </c>
      <c r="P6" s="57">
        <v>0.4375</v>
      </c>
      <c r="Q6" s="184"/>
      <c r="S6" s="55">
        <v>7.785714285714286</v>
      </c>
      <c r="T6" s="57">
        <v>1.1217137594956024</v>
      </c>
      <c r="U6" s="57">
        <v>-1.2142857142857144</v>
      </c>
      <c r="V6" s="184"/>
      <c r="W6" s="338"/>
      <c r="X6" s="330">
        <v>7.055555555555555</v>
      </c>
      <c r="Y6" s="136">
        <v>0.6391374907061419</v>
      </c>
      <c r="Z6" s="57">
        <v>0.05555555555555536</v>
      </c>
      <c r="AA6" s="184"/>
      <c r="AB6" s="338"/>
      <c r="AC6" s="330">
        <v>7.71578947368421</v>
      </c>
      <c r="AD6" s="57">
        <v>0.715901264060234</v>
      </c>
      <c r="AE6" s="57">
        <v>0.7157894736842101</v>
      </c>
      <c r="AF6" s="184"/>
      <c r="AG6" s="338"/>
      <c r="AH6" s="330">
        <v>6.705882352941177</v>
      </c>
      <c r="AI6" s="238">
        <v>0.5878675320972555</v>
      </c>
      <c r="AJ6" s="215">
        <v>-0.2941176470588234</v>
      </c>
      <c r="AK6" s="184"/>
      <c r="AL6" s="338"/>
      <c r="AM6" s="330">
        <v>6.923076923076923</v>
      </c>
      <c r="AN6" s="345">
        <v>0.7595545253127501</v>
      </c>
      <c r="AO6" s="57">
        <v>-0.07692307692307665</v>
      </c>
      <c r="AP6" s="184"/>
      <c r="AQ6" s="338"/>
      <c r="AR6" s="326">
        <v>6.1923076923076925</v>
      </c>
      <c r="AS6" s="346">
        <v>0.48038446141526137</v>
      </c>
      <c r="AT6" s="347">
        <v>-0.8076923076923075</v>
      </c>
      <c r="AU6" s="184"/>
      <c r="AV6" s="338"/>
      <c r="AW6" s="326">
        <v>7.214285714285714</v>
      </c>
      <c r="AX6" s="348">
        <v>0.8925823753039809</v>
      </c>
      <c r="AY6" s="347">
        <v>1.2142857142857144</v>
      </c>
      <c r="AZ6" s="335"/>
      <c r="BA6" s="61"/>
      <c r="BB6" s="55">
        <v>7.38</v>
      </c>
      <c r="BC6" s="57">
        <v>0.65</v>
      </c>
      <c r="BD6" s="57">
        <v>-0.62</v>
      </c>
      <c r="BE6" s="336"/>
      <c r="BF6" s="61"/>
      <c r="BG6" s="55">
        <v>8.166666666666666</v>
      </c>
      <c r="BH6" s="57">
        <v>0.8348471099367218</v>
      </c>
      <c r="BI6" s="146">
        <v>0.16666666666666607</v>
      </c>
      <c r="BJ6" s="336"/>
      <c r="BK6" s="336"/>
    </row>
    <row r="7" ht="52.5" customHeight="1">
      <c r="A7" s="180"/>
      <c r="B7" s="61"/>
      <c r="C7" s="53" t="s">
        <v>33</v>
      </c>
      <c r="D7" s="164"/>
      <c r="E7" s="61"/>
      <c r="F7" s="326">
        <f t="shared" si="1"/>
        <v>6.812186451</v>
      </c>
      <c r="G7" s="191"/>
      <c r="H7" s="61"/>
      <c r="I7" s="55">
        <v>7.153846153846154</v>
      </c>
      <c r="J7" s="130">
        <v>1.0681880176381127</v>
      </c>
      <c r="K7" s="57">
        <v>0.1538461538461542</v>
      </c>
      <c r="L7" s="184"/>
      <c r="N7" s="55">
        <v>6.4375</v>
      </c>
      <c r="O7" s="62">
        <v>1.0307764064044151</v>
      </c>
      <c r="P7" s="57">
        <v>1.4375</v>
      </c>
      <c r="Q7" s="184"/>
      <c r="S7" s="55">
        <v>6.928571428571429</v>
      </c>
      <c r="T7" s="337">
        <v>1.0716117059605352</v>
      </c>
      <c r="U7" s="57">
        <v>0.9285714285714288</v>
      </c>
      <c r="V7" s="184"/>
      <c r="W7" s="338"/>
      <c r="X7" s="330">
        <v>7.166666666666667</v>
      </c>
      <c r="Y7" s="94">
        <v>0.9851843661437781</v>
      </c>
      <c r="Z7" s="57">
        <v>0.16666666666666696</v>
      </c>
      <c r="AA7" s="184"/>
      <c r="AB7" s="338"/>
      <c r="AC7" s="330">
        <v>7.684210526315789</v>
      </c>
      <c r="AD7" s="90">
        <v>0.8029550685469662</v>
      </c>
      <c r="AE7" s="349">
        <v>1.6842105263157894</v>
      </c>
      <c r="AF7" s="184"/>
      <c r="AG7" s="338"/>
      <c r="AH7" s="330">
        <v>6.088235294117647</v>
      </c>
      <c r="AI7" s="60">
        <v>0.7122871199007257</v>
      </c>
      <c r="AJ7" s="57">
        <v>0.08823529411764675</v>
      </c>
      <c r="AK7" s="184"/>
      <c r="AL7" s="338"/>
      <c r="AM7" s="330">
        <v>7.038461538461538</v>
      </c>
      <c r="AN7" s="57">
        <v>1.1266014242982163</v>
      </c>
      <c r="AO7" s="57">
        <v>0.038461538461538325</v>
      </c>
      <c r="AP7" s="184"/>
      <c r="AQ7" s="338"/>
      <c r="AR7" s="326">
        <v>6.0</v>
      </c>
      <c r="AS7" s="350">
        <v>0.408248290463863</v>
      </c>
      <c r="AT7" s="351">
        <v>-1.0</v>
      </c>
      <c r="AU7" s="184"/>
      <c r="AV7" s="338"/>
      <c r="AW7" s="326">
        <v>8.571428571428571</v>
      </c>
      <c r="AX7" s="352">
        <v>1.1578684470436786</v>
      </c>
      <c r="AY7" s="353">
        <v>1.5714285714285712</v>
      </c>
      <c r="AZ7" s="335"/>
      <c r="BA7" s="61"/>
      <c r="BB7" s="55">
        <v>8.15</v>
      </c>
      <c r="BC7" s="269">
        <v>0.9</v>
      </c>
      <c r="BD7" s="354">
        <v>-0.85</v>
      </c>
      <c r="BE7" s="336"/>
      <c r="BF7" s="61"/>
      <c r="BG7" s="55">
        <v>8.166666666666666</v>
      </c>
      <c r="BH7" s="57">
        <v>1.7494587907710375</v>
      </c>
      <c r="BI7" s="66">
        <v>0.16666666666666607</v>
      </c>
      <c r="BJ7" s="336"/>
      <c r="BK7" s="336"/>
    </row>
    <row r="8" ht="52.5" customHeight="1">
      <c r="A8" s="180"/>
      <c r="B8" s="69"/>
      <c r="C8" s="53" t="s">
        <v>34</v>
      </c>
      <c r="D8" s="164"/>
      <c r="E8" s="70"/>
      <c r="F8" s="326">
        <f t="shared" si="1"/>
        <v>6.27698441</v>
      </c>
      <c r="G8" s="191"/>
      <c r="H8" s="70"/>
      <c r="I8" s="71">
        <v>7.0</v>
      </c>
      <c r="J8" s="273">
        <v>1.1547005383792515</v>
      </c>
      <c r="K8" s="76">
        <v>0.0</v>
      </c>
      <c r="L8" s="184"/>
      <c r="M8" s="355"/>
      <c r="N8" s="71">
        <v>5.75</v>
      </c>
      <c r="O8" s="356">
        <v>1.0645812948447542</v>
      </c>
      <c r="P8" s="357">
        <v>1.75</v>
      </c>
      <c r="Q8" s="184"/>
      <c r="R8" s="355"/>
      <c r="S8" s="358">
        <v>6.178571428571429</v>
      </c>
      <c r="T8" s="356">
        <v>1.102569426684479</v>
      </c>
      <c r="U8" s="357">
        <v>-1.8214285714285712</v>
      </c>
      <c r="V8" s="184"/>
      <c r="W8" s="359"/>
      <c r="X8" s="360">
        <v>6.777777777777778</v>
      </c>
      <c r="Y8" s="222">
        <v>1.2153699778283713</v>
      </c>
      <c r="Z8" s="228">
        <v>-1.2222222222222223</v>
      </c>
      <c r="AA8" s="184"/>
      <c r="AB8" s="359"/>
      <c r="AC8" s="361">
        <v>6.842105263157895</v>
      </c>
      <c r="AD8" s="356">
        <v>1.2478050904927616</v>
      </c>
      <c r="AE8" s="362">
        <v>0.8421052631578947</v>
      </c>
      <c r="AF8" s="184"/>
      <c r="AG8" s="359"/>
      <c r="AH8" s="361">
        <v>5.705882352941177</v>
      </c>
      <c r="AI8" s="363">
        <v>0.985184366143778</v>
      </c>
      <c r="AJ8" s="362">
        <v>1.7058823529411766</v>
      </c>
      <c r="AK8" s="184"/>
      <c r="AL8" s="359"/>
      <c r="AM8" s="361">
        <v>6.346153846153846</v>
      </c>
      <c r="AN8" s="364">
        <v>1.3131484966899114</v>
      </c>
      <c r="AO8" s="365">
        <v>-0.6538461538461542</v>
      </c>
      <c r="AP8" s="184"/>
      <c r="AQ8" s="359"/>
      <c r="AR8" s="360">
        <v>5.615384615384615</v>
      </c>
      <c r="AS8" s="222">
        <v>0.869718492622904</v>
      </c>
      <c r="AT8" s="366">
        <v>-0.384615384615385</v>
      </c>
      <c r="AU8" s="184"/>
      <c r="AV8" s="359"/>
      <c r="AW8" s="361">
        <v>8.428571428571429</v>
      </c>
      <c r="AX8" s="367">
        <v>1.2838814775327392</v>
      </c>
      <c r="AY8" s="368">
        <v>1.4285714285714288</v>
      </c>
      <c r="AZ8" s="335"/>
      <c r="BA8" s="70"/>
      <c r="BB8" s="71">
        <v>7.65</v>
      </c>
      <c r="BC8" s="274">
        <v>0.9</v>
      </c>
      <c r="BD8" s="369">
        <v>-1.35</v>
      </c>
      <c r="BE8" s="336"/>
      <c r="BF8" s="70"/>
      <c r="BG8" s="71">
        <v>7.916666666666667</v>
      </c>
      <c r="BH8" s="76">
        <v>1.2401124093721452</v>
      </c>
      <c r="BI8" s="370">
        <v>-0.08333333333333304</v>
      </c>
      <c r="BJ8" s="336"/>
      <c r="BK8" s="336"/>
    </row>
    <row r="9" ht="52.5" customHeight="1">
      <c r="A9" s="180"/>
      <c r="B9" s="371" t="s">
        <v>35</v>
      </c>
      <c r="C9" s="78" t="s">
        <v>36</v>
      </c>
      <c r="D9" s="164"/>
      <c r="E9" s="79">
        <f>AVERAGE(F9:F14)</f>
        <v>6.750652539</v>
      </c>
      <c r="F9" s="326">
        <f t="shared" si="1"/>
        <v>6.803505689</v>
      </c>
      <c r="G9" s="191"/>
      <c r="H9" s="79">
        <f>AVERAGE(I9:I14)</f>
        <v>6.98992674</v>
      </c>
      <c r="I9" s="80">
        <v>6.846153846153846</v>
      </c>
      <c r="J9" s="278">
        <v>1.0681880176381127</v>
      </c>
      <c r="K9" s="81">
        <v>-0.1538461538461542</v>
      </c>
      <c r="L9" s="184"/>
      <c r="M9" s="329">
        <f>AVERAGE(N9:N14)</f>
        <v>6.473958333</v>
      </c>
      <c r="N9" s="326">
        <v>6.375</v>
      </c>
      <c r="O9" s="372">
        <v>0.8850612031567836</v>
      </c>
      <c r="P9" s="373">
        <v>0.375</v>
      </c>
      <c r="Q9" s="184"/>
      <c r="R9" s="329">
        <f>AVERAGE(S9:S14)</f>
        <v>7.158333333</v>
      </c>
      <c r="S9" s="326">
        <v>7.678571428571429</v>
      </c>
      <c r="T9" s="374">
        <v>0.9324727848604989</v>
      </c>
      <c r="U9" s="375">
        <v>-0.8214285714285712</v>
      </c>
      <c r="V9" s="184"/>
      <c r="W9" s="329">
        <f>AVERAGE(X9:X14)</f>
        <v>7.125</v>
      </c>
      <c r="X9" s="326">
        <v>7.083333333333333</v>
      </c>
      <c r="Y9" s="372">
        <v>0.8786687791935093</v>
      </c>
      <c r="Z9" s="375">
        <v>0.08333333333333304</v>
      </c>
      <c r="AA9" s="184"/>
      <c r="AB9" s="329">
        <f>AVERAGE(AC9:AC14)</f>
        <v>6.697368421</v>
      </c>
      <c r="AC9" s="326">
        <v>7.2368421052631575</v>
      </c>
      <c r="AD9" s="376">
        <v>1.0848504896045916</v>
      </c>
      <c r="AE9" s="375">
        <v>1.2368421052631575</v>
      </c>
      <c r="AF9" s="184"/>
      <c r="AG9" s="329">
        <f>AVERAGE(AH9:AH14)</f>
        <v>6.419607843</v>
      </c>
      <c r="AH9" s="326">
        <v>6.323529411764706</v>
      </c>
      <c r="AI9" s="377">
        <v>0.6359337738364604</v>
      </c>
      <c r="AJ9" s="375">
        <v>-0.6764705882352944</v>
      </c>
      <c r="AK9" s="184"/>
      <c r="AL9" s="329">
        <f>AVERAGE(AM9:AM14)</f>
        <v>6.833333333</v>
      </c>
      <c r="AM9" s="326">
        <v>7.038461538461538</v>
      </c>
      <c r="AN9" s="374">
        <v>0.92334397846312</v>
      </c>
      <c r="AO9" s="375">
        <v>-0.9615384615384617</v>
      </c>
      <c r="AP9" s="184"/>
      <c r="AQ9" s="329">
        <f>AVERAGE(AR9:AR14)</f>
        <v>6.307692308</v>
      </c>
      <c r="AR9" s="326">
        <v>5.846153846153846</v>
      </c>
      <c r="AS9" s="340">
        <v>0.8006407690254357</v>
      </c>
      <c r="AT9" s="343">
        <v>-1.1538461538461542</v>
      </c>
      <c r="AU9" s="184"/>
      <c r="AV9" s="329">
        <f>AVERAGE(AW9:AW14)</f>
        <v>7.678571429</v>
      </c>
      <c r="AW9" s="326">
        <v>7.428571428571429</v>
      </c>
      <c r="AX9" s="378">
        <v>0.9376144618769908</v>
      </c>
      <c r="AY9" s="379">
        <v>1.4285714285714288</v>
      </c>
      <c r="AZ9" s="335"/>
      <c r="BA9" s="79">
        <f>AVERAGE(BB9:BB14)</f>
        <v>7.955</v>
      </c>
      <c r="BB9" s="80">
        <v>8.29</v>
      </c>
      <c r="BC9" s="380">
        <v>0.73</v>
      </c>
      <c r="BD9" s="81">
        <v>0.29</v>
      </c>
      <c r="BE9" s="336"/>
      <c r="BF9" s="79">
        <f>AVERAGE(BG9:BG14)</f>
        <v>8.159722222</v>
      </c>
      <c r="BG9" s="80">
        <v>8.0</v>
      </c>
      <c r="BH9" s="381">
        <v>1.1281521496355325</v>
      </c>
      <c r="BI9" s="382">
        <v>0.0</v>
      </c>
      <c r="BJ9" s="336"/>
      <c r="BK9" s="336"/>
    </row>
    <row r="10" ht="52.5" customHeight="1">
      <c r="A10" s="180"/>
      <c r="B10" s="61"/>
      <c r="C10" s="78" t="s">
        <v>37</v>
      </c>
      <c r="D10" s="164"/>
      <c r="E10" s="61"/>
      <c r="F10" s="326">
        <f t="shared" si="1"/>
        <v>6.05206963</v>
      </c>
      <c r="G10" s="191"/>
      <c r="H10" s="61"/>
      <c r="I10" s="55">
        <v>6.384615384615385</v>
      </c>
      <c r="J10" s="270">
        <v>1.2608503439122305</v>
      </c>
      <c r="K10" s="57">
        <v>0.384615384615385</v>
      </c>
      <c r="L10" s="184"/>
      <c r="M10" s="338"/>
      <c r="N10" s="326">
        <v>5.5</v>
      </c>
      <c r="O10" s="383">
        <v>1.0327955589886444</v>
      </c>
      <c r="P10" s="384">
        <v>1.5</v>
      </c>
      <c r="Q10" s="184"/>
      <c r="R10" s="338"/>
      <c r="S10" s="326">
        <v>6.321428571428571</v>
      </c>
      <c r="T10" s="385">
        <v>1.5885061058591023</v>
      </c>
      <c r="U10" s="375">
        <v>1.3214285714285712</v>
      </c>
      <c r="V10" s="184"/>
      <c r="W10" s="338"/>
      <c r="X10" s="326">
        <v>6.388888888888889</v>
      </c>
      <c r="Y10" s="386">
        <v>0.7775443160352296</v>
      </c>
      <c r="Z10" s="375">
        <v>-0.6111111111111107</v>
      </c>
      <c r="AA10" s="184"/>
      <c r="AB10" s="338"/>
      <c r="AC10" s="326">
        <v>5.631578947368421</v>
      </c>
      <c r="AD10" s="374">
        <v>0.6839855680567695</v>
      </c>
      <c r="AE10" s="375">
        <v>0.6315789473684212</v>
      </c>
      <c r="AF10" s="184"/>
      <c r="AG10" s="338"/>
      <c r="AH10" s="326">
        <v>5.882352941176471</v>
      </c>
      <c r="AI10" s="374">
        <v>0.9275204136012634</v>
      </c>
      <c r="AJ10" s="375">
        <v>-0.117647058823529</v>
      </c>
      <c r="AK10" s="184"/>
      <c r="AL10" s="338"/>
      <c r="AM10" s="326">
        <v>6.615384615384615</v>
      </c>
      <c r="AN10" s="340">
        <v>0.7679476477883044</v>
      </c>
      <c r="AO10" s="387">
        <v>0.615384615384615</v>
      </c>
      <c r="AP10" s="184"/>
      <c r="AQ10" s="338"/>
      <c r="AR10" s="326">
        <v>5.6923076923076925</v>
      </c>
      <c r="AS10" s="340">
        <v>0.6304251719561152</v>
      </c>
      <c r="AT10" s="343">
        <v>-1.3076923076923075</v>
      </c>
      <c r="AU10" s="184"/>
      <c r="AV10" s="338"/>
      <c r="AW10" s="326">
        <v>7.642857142857143</v>
      </c>
      <c r="AX10" s="374">
        <v>1.1507283885330302</v>
      </c>
      <c r="AY10" s="388">
        <v>1.6428571428571432</v>
      </c>
      <c r="AZ10" s="335"/>
      <c r="BA10" s="61"/>
      <c r="BB10" s="55">
        <v>8.08</v>
      </c>
      <c r="BC10" s="89">
        <v>1.19</v>
      </c>
      <c r="BD10" s="66">
        <v>2.08</v>
      </c>
      <c r="BE10" s="336"/>
      <c r="BF10" s="61"/>
      <c r="BG10" s="55">
        <v>7.416666666666667</v>
      </c>
      <c r="BH10" s="119">
        <v>1.1645001528813148</v>
      </c>
      <c r="BI10" s="146">
        <v>0.41666666666666696</v>
      </c>
      <c r="BJ10" s="336"/>
      <c r="BK10" s="336"/>
    </row>
    <row r="11" ht="52.5" customHeight="1">
      <c r="A11" s="180"/>
      <c r="B11" s="61"/>
      <c r="C11" s="78" t="s">
        <v>38</v>
      </c>
      <c r="D11" s="164"/>
      <c r="E11" s="61"/>
      <c r="F11" s="326">
        <f t="shared" si="1"/>
        <v>6.714295844</v>
      </c>
      <c r="G11" s="191"/>
      <c r="H11" s="61"/>
      <c r="I11" s="55">
        <v>6.615384615384615</v>
      </c>
      <c r="J11" s="63">
        <v>1.1208970766356101</v>
      </c>
      <c r="K11" s="57">
        <v>-0.384615384615385</v>
      </c>
      <c r="L11" s="184"/>
      <c r="M11" s="338"/>
      <c r="N11" s="326">
        <v>6.4375</v>
      </c>
      <c r="O11" s="389">
        <v>0.963932916061417</v>
      </c>
      <c r="P11" s="390">
        <v>0.4375</v>
      </c>
      <c r="Q11" s="184"/>
      <c r="R11" s="338"/>
      <c r="S11" s="326">
        <v>6.714285714285714</v>
      </c>
      <c r="T11" s="374">
        <v>0.9138735334633753</v>
      </c>
      <c r="U11" s="375">
        <v>-0.2857142857142856</v>
      </c>
      <c r="V11" s="184"/>
      <c r="W11" s="338"/>
      <c r="X11" s="326">
        <v>7.555555555555555</v>
      </c>
      <c r="Y11" s="391">
        <v>1.1490262999202836</v>
      </c>
      <c r="Z11" s="375">
        <v>-1.4444444444444446</v>
      </c>
      <c r="AA11" s="184"/>
      <c r="AB11" s="338"/>
      <c r="AC11" s="326">
        <v>6.921052631578948</v>
      </c>
      <c r="AD11" s="392">
        <v>0.8541265501918848</v>
      </c>
      <c r="AE11" s="375">
        <v>0.9210526315789478</v>
      </c>
      <c r="AF11" s="184"/>
      <c r="AG11" s="338"/>
      <c r="AH11" s="326">
        <v>6.470588235294118</v>
      </c>
      <c r="AI11" s="378">
        <v>0.8744746321952062</v>
      </c>
      <c r="AJ11" s="375">
        <v>-1.5294117647058822</v>
      </c>
      <c r="AK11" s="184"/>
      <c r="AL11" s="338"/>
      <c r="AM11" s="326">
        <v>6.615384615384615</v>
      </c>
      <c r="AN11" s="340">
        <v>0.7679476477883044</v>
      </c>
      <c r="AO11" s="375">
        <v>0.615384615384615</v>
      </c>
      <c r="AP11" s="184"/>
      <c r="AQ11" s="338"/>
      <c r="AR11" s="326">
        <v>6.384615384615385</v>
      </c>
      <c r="AS11" s="340">
        <v>0.6504436355879909</v>
      </c>
      <c r="AT11" s="343">
        <v>-1.615384615384615</v>
      </c>
      <c r="AU11" s="184"/>
      <c r="AV11" s="338"/>
      <c r="AW11" s="326">
        <v>8.0</v>
      </c>
      <c r="AX11" s="372">
        <v>0.8770580193070291</v>
      </c>
      <c r="AY11" s="375">
        <v>2.0</v>
      </c>
      <c r="AZ11" s="335"/>
      <c r="BA11" s="61"/>
      <c r="BB11" s="55">
        <v>7.79</v>
      </c>
      <c r="BC11" s="65">
        <v>0.97</v>
      </c>
      <c r="BD11" s="57">
        <v>-0.21</v>
      </c>
      <c r="BE11" s="336"/>
      <c r="BF11" s="61"/>
      <c r="BG11" s="55">
        <v>8.583333333333334</v>
      </c>
      <c r="BH11" s="270">
        <v>0.9962049198956219</v>
      </c>
      <c r="BI11" s="57">
        <v>1.583333333333334</v>
      </c>
      <c r="BJ11" s="336"/>
      <c r="BK11" s="336"/>
    </row>
    <row r="12" ht="52.5" customHeight="1">
      <c r="A12" s="180"/>
      <c r="B12" s="61"/>
      <c r="C12" s="78" t="s">
        <v>39</v>
      </c>
      <c r="D12" s="164"/>
      <c r="E12" s="61"/>
      <c r="F12" s="326">
        <f t="shared" si="1"/>
        <v>6.646077879</v>
      </c>
      <c r="G12" s="191"/>
      <c r="H12" s="61"/>
      <c r="I12" s="55">
        <v>6.615384615384615</v>
      </c>
      <c r="J12" s="63">
        <v>0.8697184926229041</v>
      </c>
      <c r="K12" s="281">
        <v>-0.384615384615385</v>
      </c>
      <c r="L12" s="184"/>
      <c r="M12" s="338"/>
      <c r="N12" s="326">
        <v>6.78125</v>
      </c>
      <c r="O12" s="393">
        <v>0.9481341325642344</v>
      </c>
      <c r="P12" s="390">
        <v>1.78125</v>
      </c>
      <c r="Q12" s="184"/>
      <c r="R12" s="338"/>
      <c r="S12" s="326">
        <v>7.142857142857143</v>
      </c>
      <c r="T12" s="374">
        <v>0.8644378215075663</v>
      </c>
      <c r="U12" s="375">
        <v>0.14285714285714324</v>
      </c>
      <c r="V12" s="184"/>
      <c r="W12" s="338"/>
      <c r="X12" s="326">
        <v>6.944444444444445</v>
      </c>
      <c r="Y12" s="374">
        <v>0.7253576985527025</v>
      </c>
      <c r="Z12" s="375">
        <v>0.9444444444444446</v>
      </c>
      <c r="AA12" s="184"/>
      <c r="AB12" s="338"/>
      <c r="AC12" s="326">
        <v>6.526315789473684</v>
      </c>
      <c r="AD12" s="394">
        <v>1.0733344230135038</v>
      </c>
      <c r="AE12" s="375">
        <v>0.5263157894736841</v>
      </c>
      <c r="AF12" s="184"/>
      <c r="AG12" s="338"/>
      <c r="AH12" s="326">
        <v>6.235294117647059</v>
      </c>
      <c r="AI12" s="395">
        <v>0.9034248560828042</v>
      </c>
      <c r="AJ12" s="396">
        <v>0.23529411764705888</v>
      </c>
      <c r="AK12" s="184"/>
      <c r="AL12" s="338"/>
      <c r="AM12" s="326">
        <v>6.230769230769231</v>
      </c>
      <c r="AN12" s="340">
        <v>1.0127393670836664</v>
      </c>
      <c r="AO12" s="375">
        <v>0.23076923076923084</v>
      </c>
      <c r="AP12" s="184"/>
      <c r="AQ12" s="338"/>
      <c r="AR12" s="326">
        <v>6.6923076923076925</v>
      </c>
      <c r="AS12" s="340">
        <v>0.9473309334313419</v>
      </c>
      <c r="AT12" s="343">
        <v>-1.3076923076923075</v>
      </c>
      <c r="AU12" s="184"/>
      <c r="AV12" s="338"/>
      <c r="AW12" s="326">
        <v>7.785714285714286</v>
      </c>
      <c r="AX12" s="374">
        <v>0.699293206753068</v>
      </c>
      <c r="AY12" s="343">
        <v>0.7857142857142856</v>
      </c>
      <c r="AZ12" s="335"/>
      <c r="BA12" s="61"/>
      <c r="BB12" s="55">
        <v>8.0</v>
      </c>
      <c r="BC12" s="236">
        <v>0.96</v>
      </c>
      <c r="BD12" s="57">
        <v>0.0</v>
      </c>
      <c r="BE12" s="336"/>
      <c r="BF12" s="61"/>
      <c r="BG12" s="55">
        <v>8.041666666666666</v>
      </c>
      <c r="BH12" s="238">
        <v>0.8649312461728161</v>
      </c>
      <c r="BI12" s="271">
        <v>1.041666666666666</v>
      </c>
      <c r="BJ12" s="336"/>
      <c r="BK12" s="336"/>
    </row>
    <row r="13" ht="52.5" customHeight="1">
      <c r="A13" s="180"/>
      <c r="B13" s="61"/>
      <c r="C13" s="78" t="s">
        <v>40</v>
      </c>
      <c r="D13" s="164"/>
      <c r="E13" s="61"/>
      <c r="F13" s="326">
        <f t="shared" si="1"/>
        <v>7.052075507</v>
      </c>
      <c r="G13" s="191"/>
      <c r="H13" s="61"/>
      <c r="I13" s="55">
        <v>7.6923076923076925</v>
      </c>
      <c r="J13" s="63">
        <v>1.031553471276484</v>
      </c>
      <c r="K13" s="327">
        <v>1.6923076923076925</v>
      </c>
      <c r="L13" s="184"/>
      <c r="M13" s="338"/>
      <c r="N13" s="326">
        <v>7.1875</v>
      </c>
      <c r="O13" s="397">
        <v>1.0468205831628137</v>
      </c>
      <c r="P13" s="375">
        <v>1.1875</v>
      </c>
      <c r="Q13" s="184"/>
      <c r="R13" s="338"/>
      <c r="S13" s="326">
        <v>7.714285714285714</v>
      </c>
      <c r="T13" s="374">
        <v>1.0690449676496974</v>
      </c>
      <c r="U13" s="375">
        <v>-0.2857142857142856</v>
      </c>
      <c r="V13" s="184"/>
      <c r="W13" s="338"/>
      <c r="X13" s="326">
        <v>6.944444444444445</v>
      </c>
      <c r="Y13" s="340">
        <v>0.9983646759294876</v>
      </c>
      <c r="Z13" s="375">
        <v>-1.0555555555555554</v>
      </c>
      <c r="AA13" s="184"/>
      <c r="AB13" s="338"/>
      <c r="AC13" s="326">
        <v>6.421052631578948</v>
      </c>
      <c r="AD13" s="397">
        <v>0.9015905373704979</v>
      </c>
      <c r="AE13" s="375">
        <v>0.4210526315789478</v>
      </c>
      <c r="AF13" s="184"/>
      <c r="AG13" s="338"/>
      <c r="AH13" s="326">
        <v>6.764705882352941</v>
      </c>
      <c r="AI13" s="398">
        <v>0.9034248560828041</v>
      </c>
      <c r="AJ13" s="375">
        <v>-1.2352941176470589</v>
      </c>
      <c r="AK13" s="184"/>
      <c r="AL13" s="338"/>
      <c r="AM13" s="326">
        <v>6.769230769230769</v>
      </c>
      <c r="AN13" s="399">
        <v>0.9268086959962984</v>
      </c>
      <c r="AO13" s="400">
        <v>-0.23076923076923084</v>
      </c>
      <c r="AP13" s="184"/>
      <c r="AQ13" s="338"/>
      <c r="AR13" s="326">
        <v>6.923076923076923</v>
      </c>
      <c r="AS13" s="340">
        <v>0.8623164985025763</v>
      </c>
      <c r="AT13" s="343">
        <v>-1.0769230769230766</v>
      </c>
      <c r="AU13" s="184"/>
      <c r="AV13" s="338"/>
      <c r="AW13" s="326">
        <v>7.428571428571429</v>
      </c>
      <c r="AX13" s="374">
        <v>0.7559289460184545</v>
      </c>
      <c r="AY13" s="390">
        <v>0.4285714285714288</v>
      </c>
      <c r="AZ13" s="335"/>
      <c r="BA13" s="61"/>
      <c r="BB13" s="55">
        <v>8.0</v>
      </c>
      <c r="BC13" s="101">
        <v>0.78</v>
      </c>
      <c r="BD13" s="57">
        <v>0.0</v>
      </c>
      <c r="BE13" s="336"/>
      <c r="BF13" s="61"/>
      <c r="BG13" s="55">
        <v>8.333333333333334</v>
      </c>
      <c r="BH13" s="148">
        <v>0.6513389472789296</v>
      </c>
      <c r="BI13" s="146">
        <v>0.3333333333333339</v>
      </c>
      <c r="BJ13" s="336"/>
      <c r="BK13" s="336"/>
    </row>
    <row r="14" ht="52.5" customHeight="1">
      <c r="A14" s="180"/>
      <c r="B14" s="69"/>
      <c r="C14" s="78" t="s">
        <v>41</v>
      </c>
      <c r="D14" s="164"/>
      <c r="E14" s="70"/>
      <c r="F14" s="326">
        <f t="shared" si="1"/>
        <v>7.235890685</v>
      </c>
      <c r="G14" s="191"/>
      <c r="H14" s="70"/>
      <c r="I14" s="54">
        <v>7.785714285714286</v>
      </c>
      <c r="J14" s="201">
        <v>1.311403911760301</v>
      </c>
      <c r="K14" s="107">
        <v>0.7857142857142856</v>
      </c>
      <c r="L14" s="184"/>
      <c r="M14" s="338"/>
      <c r="N14" s="329">
        <v>6.5625</v>
      </c>
      <c r="O14" s="401">
        <v>1.0935416468216166</v>
      </c>
      <c r="P14" s="347">
        <v>1.5625</v>
      </c>
      <c r="Q14" s="184"/>
      <c r="R14" s="338"/>
      <c r="S14" s="329">
        <v>7.378571428571428</v>
      </c>
      <c r="T14" s="402">
        <v>1.062781960001907</v>
      </c>
      <c r="U14" s="347">
        <v>0.3785714285714281</v>
      </c>
      <c r="V14" s="184"/>
      <c r="W14" s="338"/>
      <c r="X14" s="329">
        <v>7.833333333333333</v>
      </c>
      <c r="Y14" s="403">
        <v>1.0981267472114395</v>
      </c>
      <c r="Z14" s="347">
        <v>0.833333333333333</v>
      </c>
      <c r="AA14" s="184"/>
      <c r="AB14" s="338"/>
      <c r="AC14" s="329">
        <v>7.447368421052632</v>
      </c>
      <c r="AD14" s="404">
        <v>0.8958970805552213</v>
      </c>
      <c r="AE14" s="347">
        <v>1.4473684210526319</v>
      </c>
      <c r="AF14" s="184"/>
      <c r="AG14" s="338"/>
      <c r="AH14" s="329">
        <v>6.841176470588235</v>
      </c>
      <c r="AI14" s="405">
        <v>0.9766388940707639</v>
      </c>
      <c r="AJ14" s="347">
        <v>-1.158823529411765</v>
      </c>
      <c r="AK14" s="184"/>
      <c r="AL14" s="338"/>
      <c r="AM14" s="329">
        <v>7.730769230769231</v>
      </c>
      <c r="AN14" s="346">
        <v>1.0530785151043387</v>
      </c>
      <c r="AO14" s="347">
        <v>-0.26923076923076916</v>
      </c>
      <c r="AP14" s="184"/>
      <c r="AQ14" s="338"/>
      <c r="AR14" s="329">
        <v>6.3076923076923075</v>
      </c>
      <c r="AS14" s="346">
        <v>0.7510676161988107</v>
      </c>
      <c r="AT14" s="406">
        <v>-0.6923076923076925</v>
      </c>
      <c r="AU14" s="184"/>
      <c r="AV14" s="338"/>
      <c r="AW14" s="329">
        <v>7.785714285714286</v>
      </c>
      <c r="AX14" s="407">
        <v>1.3688047244316384</v>
      </c>
      <c r="AY14" s="408">
        <v>1.7857142857142856</v>
      </c>
      <c r="AZ14" s="335"/>
      <c r="BA14" s="70"/>
      <c r="BB14" s="54">
        <v>7.57</v>
      </c>
      <c r="BC14" s="409">
        <v>0.85</v>
      </c>
      <c r="BD14" s="107">
        <v>0.57</v>
      </c>
      <c r="BE14" s="336"/>
      <c r="BF14" s="70"/>
      <c r="BG14" s="54">
        <v>8.583333333333334</v>
      </c>
      <c r="BH14" s="107">
        <v>1.1645001528813153</v>
      </c>
      <c r="BI14" s="410">
        <v>-0.4166666666666661</v>
      </c>
      <c r="BJ14" s="336"/>
      <c r="BK14" s="336"/>
    </row>
    <row r="15" ht="52.5" customHeight="1">
      <c r="A15" s="180"/>
      <c r="B15" s="411" t="s">
        <v>42</v>
      </c>
      <c r="C15" s="96" t="s">
        <v>43</v>
      </c>
      <c r="D15" s="164"/>
      <c r="E15" s="111">
        <f>AVERAGE(F15:F20)</f>
        <v>6.778979801</v>
      </c>
      <c r="F15" s="326">
        <f t="shared" si="1"/>
        <v>6.849533832</v>
      </c>
      <c r="G15" s="191"/>
      <c r="H15" s="111">
        <f>AVERAGE(I15:I20)</f>
        <v>7.040598291</v>
      </c>
      <c r="I15" s="112">
        <v>7.0</v>
      </c>
      <c r="J15" s="113">
        <v>1.1547005383792515</v>
      </c>
      <c r="K15" s="412">
        <v>-1.0</v>
      </c>
      <c r="L15" s="184"/>
      <c r="M15" s="413">
        <f>AVERAGE(N15:N20)</f>
        <v>6.208333333</v>
      </c>
      <c r="N15" s="414">
        <v>6.25</v>
      </c>
      <c r="O15" s="415">
        <v>0.9309493362512627</v>
      </c>
      <c r="P15" s="416">
        <v>0.25</v>
      </c>
      <c r="Q15" s="184"/>
      <c r="R15" s="413">
        <f>AVERAGE(S15:S20)</f>
        <v>6.536904762</v>
      </c>
      <c r="S15" s="414">
        <v>6.792857142857143</v>
      </c>
      <c r="T15" s="417">
        <v>0.9887554614955927</v>
      </c>
      <c r="U15" s="418">
        <v>-1.2071428571428573</v>
      </c>
      <c r="V15" s="184"/>
      <c r="W15" s="413">
        <f>AVERAGE(X15:X20)</f>
        <v>7.220833333</v>
      </c>
      <c r="X15" s="414">
        <v>7.416666666666667</v>
      </c>
      <c r="Y15" s="419">
        <v>1.0036697371030325</v>
      </c>
      <c r="Z15" s="418">
        <v>-0.583333333333333</v>
      </c>
      <c r="AA15" s="184"/>
      <c r="AB15" s="413">
        <f>AVERAGE(AC15:AC20)</f>
        <v>7.414912281</v>
      </c>
      <c r="AC15" s="414">
        <v>7.368421052631579</v>
      </c>
      <c r="AD15" s="420">
        <v>1.065130472748108</v>
      </c>
      <c r="AE15" s="418">
        <v>0.36842105263157876</v>
      </c>
      <c r="AF15" s="184"/>
      <c r="AG15" s="413">
        <f>AVERAGE(AH15:AH20)</f>
        <v>6.816666667</v>
      </c>
      <c r="AH15" s="414">
        <v>6.852941176470588</v>
      </c>
      <c r="AI15" s="421">
        <v>1.558892895238005</v>
      </c>
      <c r="AJ15" s="418">
        <v>-2.147058823529412</v>
      </c>
      <c r="AK15" s="184"/>
      <c r="AL15" s="413">
        <f>AVERAGE(AM15:AM20)</f>
        <v>7.044871795</v>
      </c>
      <c r="AM15" s="414">
        <v>7.115384615384615</v>
      </c>
      <c r="AN15" s="421">
        <v>0.9163752450517146</v>
      </c>
      <c r="AO15" s="422">
        <v>1.115384615384615</v>
      </c>
      <c r="AP15" s="184"/>
      <c r="AQ15" s="413">
        <f>AVERAGE(AR15:AR20)</f>
        <v>5.948717949</v>
      </c>
      <c r="AR15" s="414">
        <v>6.0</v>
      </c>
      <c r="AS15" s="421">
        <v>0.7071067811865476</v>
      </c>
      <c r="AT15" s="423">
        <v>-1.0</v>
      </c>
      <c r="AU15" s="184"/>
      <c r="AV15" s="413">
        <f>AVERAGE(AW15:AW20)</f>
        <v>7.248901099</v>
      </c>
      <c r="AW15" s="414">
        <v>6.923076923076923</v>
      </c>
      <c r="AX15" s="424">
        <v>1.0377490433255416</v>
      </c>
      <c r="AY15" s="423">
        <v>0.9230769230769234</v>
      </c>
      <c r="AZ15" s="335"/>
      <c r="BA15" s="111">
        <f>AVERAGE(BB15:BB20)</f>
        <v>7.836</v>
      </c>
      <c r="BB15" s="112">
        <v>7.82</v>
      </c>
      <c r="BC15" s="113">
        <v>1.4</v>
      </c>
      <c r="BD15" s="118">
        <v>-0.18</v>
      </c>
      <c r="BE15" s="336"/>
      <c r="BF15" s="111">
        <f>AVERAGE(BG15:BG20)</f>
        <v>8.121969697</v>
      </c>
      <c r="BG15" s="112">
        <v>8.181818181818182</v>
      </c>
      <c r="BH15" s="425">
        <v>1.1677484162422844</v>
      </c>
      <c r="BI15" s="118">
        <v>0.18181818181818166</v>
      </c>
      <c r="BJ15" s="336"/>
      <c r="BK15" s="336"/>
    </row>
    <row r="16" ht="52.5" customHeight="1">
      <c r="A16" s="180"/>
      <c r="B16" s="61"/>
      <c r="C16" s="96" t="s">
        <v>44</v>
      </c>
      <c r="D16" s="164"/>
      <c r="E16" s="61"/>
      <c r="F16" s="326">
        <f t="shared" si="1"/>
        <v>6.818840261</v>
      </c>
      <c r="G16" s="191"/>
      <c r="H16" s="61"/>
      <c r="I16" s="55">
        <v>7.076923076923077</v>
      </c>
      <c r="J16" s="65">
        <v>1.1875421719907089</v>
      </c>
      <c r="K16" s="287">
        <v>0.07692307692307665</v>
      </c>
      <c r="L16" s="184"/>
      <c r="M16" s="338"/>
      <c r="N16" s="326">
        <v>5.84375</v>
      </c>
      <c r="O16" s="426">
        <v>0.7685213074469699</v>
      </c>
      <c r="P16" s="427">
        <v>-0.15625</v>
      </c>
      <c r="Q16" s="184"/>
      <c r="R16" s="338"/>
      <c r="S16" s="330">
        <v>6.321428571428571</v>
      </c>
      <c r="T16" s="90">
        <v>1.2026755886059095</v>
      </c>
      <c r="U16" s="57">
        <v>-0.17857142857142883</v>
      </c>
      <c r="V16" s="184"/>
      <c r="W16" s="338"/>
      <c r="X16" s="330">
        <v>7.6194444444444445</v>
      </c>
      <c r="Y16" s="269">
        <v>0.97364368541258</v>
      </c>
      <c r="Z16" s="256">
        <v>-1.3805555555555555</v>
      </c>
      <c r="AA16" s="184"/>
      <c r="AB16" s="338"/>
      <c r="AC16" s="55">
        <v>7.7631578947368425</v>
      </c>
      <c r="AD16" s="136">
        <v>1.0589358003390792</v>
      </c>
      <c r="AE16" s="57">
        <v>1.7631578947368425</v>
      </c>
      <c r="AF16" s="184"/>
      <c r="AG16" s="338"/>
      <c r="AH16" s="330">
        <v>7.002941176470588</v>
      </c>
      <c r="AI16" s="102">
        <v>1.299094707411099</v>
      </c>
      <c r="AJ16" s="146">
        <v>-0.9970588235294118</v>
      </c>
      <c r="AK16" s="184"/>
      <c r="AL16" s="338"/>
      <c r="AM16" s="330">
        <v>7.153846153846154</v>
      </c>
      <c r="AN16" s="63">
        <v>0.9216067351961869</v>
      </c>
      <c r="AO16" s="57">
        <v>-0.8461538461538458</v>
      </c>
      <c r="AP16" s="184"/>
      <c r="AQ16" s="338"/>
      <c r="AR16" s="330">
        <v>5.769230769230769</v>
      </c>
      <c r="AS16" s="63">
        <v>0.8320502943378437</v>
      </c>
      <c r="AT16" s="146">
        <v>-1.2307692307692308</v>
      </c>
      <c r="AU16" s="184"/>
      <c r="AV16" s="338"/>
      <c r="AW16" s="330">
        <v>7.285714285714286</v>
      </c>
      <c r="AX16" s="57">
        <v>1.4898926873369842</v>
      </c>
      <c r="AY16" s="57">
        <v>1.2857142857142856</v>
      </c>
      <c r="AZ16" s="335"/>
      <c r="BA16" s="61"/>
      <c r="BB16" s="55">
        <v>7.29</v>
      </c>
      <c r="BC16" s="60">
        <v>0.91</v>
      </c>
      <c r="BD16" s="57">
        <v>-0.71</v>
      </c>
      <c r="BE16" s="336"/>
      <c r="BF16" s="61"/>
      <c r="BG16" s="55">
        <v>8.625</v>
      </c>
      <c r="BH16" s="56">
        <v>1.2990381056766576</v>
      </c>
      <c r="BI16" s="57">
        <v>0.625</v>
      </c>
      <c r="BJ16" s="336"/>
      <c r="BK16" s="336"/>
    </row>
    <row r="17" ht="52.5" customHeight="1">
      <c r="A17" s="180"/>
      <c r="B17" s="61"/>
      <c r="C17" s="96" t="s">
        <v>45</v>
      </c>
      <c r="D17" s="164"/>
      <c r="E17" s="61"/>
      <c r="F17" s="326">
        <f t="shared" si="1"/>
        <v>6.724115359</v>
      </c>
      <c r="G17" s="191"/>
      <c r="H17" s="61"/>
      <c r="I17" s="55">
        <v>7.3076923076923075</v>
      </c>
      <c r="J17" s="88">
        <v>0.8548504142651104</v>
      </c>
      <c r="K17" s="57">
        <v>0.3076923076923075</v>
      </c>
      <c r="L17" s="184"/>
      <c r="M17" s="338"/>
      <c r="N17" s="326">
        <v>5.9375</v>
      </c>
      <c r="O17" s="428">
        <v>0.9979144919948469</v>
      </c>
      <c r="P17" s="406">
        <v>0.9375</v>
      </c>
      <c r="Q17" s="184"/>
      <c r="R17" s="338"/>
      <c r="S17" s="330">
        <v>6.107142857142857</v>
      </c>
      <c r="T17" s="429">
        <v>0.4008918628686366</v>
      </c>
      <c r="U17" s="430">
        <v>-0.8928571428571432</v>
      </c>
      <c r="V17" s="184"/>
      <c r="W17" s="338"/>
      <c r="X17" s="330">
        <v>7.305555555555555</v>
      </c>
      <c r="Y17" s="431">
        <v>1.4566166366425282</v>
      </c>
      <c r="Z17" s="432">
        <v>-2.6944444444444446</v>
      </c>
      <c r="AA17" s="184"/>
      <c r="AB17" s="338"/>
      <c r="AC17" s="330">
        <v>7.7368421052631575</v>
      </c>
      <c r="AD17" s="433">
        <v>1.0848504896045914</v>
      </c>
      <c r="AE17" s="347">
        <v>1.7368421052631575</v>
      </c>
      <c r="AF17" s="184"/>
      <c r="AG17" s="338"/>
      <c r="AH17" s="330">
        <v>6.205882352941177</v>
      </c>
      <c r="AI17" s="434">
        <v>0.7917311635234007</v>
      </c>
      <c r="AJ17" s="347">
        <v>-0.7941176470588234</v>
      </c>
      <c r="AK17" s="184"/>
      <c r="AL17" s="338"/>
      <c r="AM17" s="330">
        <v>7.153846153846154</v>
      </c>
      <c r="AN17" s="429">
        <v>1.0079809725513875</v>
      </c>
      <c r="AO17" s="347">
        <v>-0.8461538461538458</v>
      </c>
      <c r="AP17" s="184"/>
      <c r="AQ17" s="338"/>
      <c r="AR17" s="330">
        <v>6.038461538461538</v>
      </c>
      <c r="AS17" s="435">
        <v>0.5188745216627709</v>
      </c>
      <c r="AT17" s="436">
        <v>-0.9615384615384617</v>
      </c>
      <c r="AU17" s="184"/>
      <c r="AV17" s="338"/>
      <c r="AW17" s="330"/>
      <c r="AX17" s="433"/>
      <c r="AY17" s="437"/>
      <c r="AZ17" s="335"/>
      <c r="BA17" s="61"/>
      <c r="BB17" s="55"/>
      <c r="BC17" s="219"/>
      <c r="BD17" s="438"/>
      <c r="BE17" s="336"/>
      <c r="BF17" s="61"/>
      <c r="BG17" s="55"/>
      <c r="BH17" s="57"/>
      <c r="BI17" s="57"/>
      <c r="BJ17" s="336"/>
      <c r="BK17" s="336"/>
    </row>
    <row r="18" ht="52.5" customHeight="1">
      <c r="A18" s="180"/>
      <c r="B18" s="61"/>
      <c r="C18" s="96" t="s">
        <v>46</v>
      </c>
      <c r="D18" s="164"/>
      <c r="E18" s="61"/>
      <c r="F18" s="326">
        <f t="shared" si="1"/>
        <v>6.728360881</v>
      </c>
      <c r="G18" s="191"/>
      <c r="H18" s="61"/>
      <c r="I18" s="55">
        <v>6.615384615384615</v>
      </c>
      <c r="J18" s="88">
        <v>1.192927878405448</v>
      </c>
      <c r="K18" s="57">
        <v>-0.384615384615385</v>
      </c>
      <c r="L18" s="184"/>
      <c r="M18" s="338"/>
      <c r="N18" s="326">
        <v>5.96875</v>
      </c>
      <c r="O18" s="399">
        <v>0.6944722216666889</v>
      </c>
      <c r="P18" s="343">
        <v>-0.03125</v>
      </c>
      <c r="Q18" s="184"/>
      <c r="R18" s="338"/>
      <c r="S18" s="326">
        <v>6.721428571428571</v>
      </c>
      <c r="T18" s="372">
        <v>1.0642285551433102</v>
      </c>
      <c r="U18" s="439">
        <v>-1.2785714285714294</v>
      </c>
      <c r="V18" s="184"/>
      <c r="W18" s="338"/>
      <c r="X18" s="326">
        <v>7.127777777777778</v>
      </c>
      <c r="Y18" s="440">
        <v>0.8115385211077968</v>
      </c>
      <c r="Z18" s="390">
        <v>0.1277777777777782</v>
      </c>
      <c r="AA18" s="184"/>
      <c r="AB18" s="338"/>
      <c r="AC18" s="326">
        <v>7.2894736842105265</v>
      </c>
      <c r="AD18" s="374">
        <v>1.25073078053597</v>
      </c>
      <c r="AE18" s="375">
        <v>0.28947368421052655</v>
      </c>
      <c r="AF18" s="184"/>
      <c r="AG18" s="338"/>
      <c r="AH18" s="326">
        <v>7.411764705882353</v>
      </c>
      <c r="AI18" s="441">
        <v>1.4168108346481794</v>
      </c>
      <c r="AJ18" s="375">
        <v>-1.5882352941176467</v>
      </c>
      <c r="AK18" s="184"/>
      <c r="AL18" s="338"/>
      <c r="AM18" s="326">
        <v>7.0</v>
      </c>
      <c r="AN18" s="372">
        <v>0.816496580927726</v>
      </c>
      <c r="AO18" s="375">
        <v>-1.0</v>
      </c>
      <c r="AP18" s="184"/>
      <c r="AQ18" s="338"/>
      <c r="AR18" s="326">
        <v>5.6923076923076925</v>
      </c>
      <c r="AS18" s="340">
        <v>0.947330933431342</v>
      </c>
      <c r="AT18" s="442">
        <v>-0.3076923076923075</v>
      </c>
      <c r="AU18" s="184"/>
      <c r="AV18" s="338"/>
      <c r="AW18" s="326">
        <v>7.321428571428571</v>
      </c>
      <c r="AX18" s="374">
        <v>1.030443199217301</v>
      </c>
      <c r="AY18" s="379">
        <v>1.3214285714285712</v>
      </c>
      <c r="AZ18" s="335"/>
      <c r="BA18" s="61"/>
      <c r="BB18" s="55">
        <v>7.77</v>
      </c>
      <c r="BC18" s="219">
        <v>0.83</v>
      </c>
      <c r="BD18" s="438">
        <v>-1.23</v>
      </c>
      <c r="BE18" s="336"/>
      <c r="BF18" s="61"/>
      <c r="BG18" s="55">
        <v>8.25</v>
      </c>
      <c r="BH18" s="57">
        <v>1.3568010505999362</v>
      </c>
      <c r="BI18" s="57">
        <v>0.25</v>
      </c>
      <c r="BJ18" s="336"/>
      <c r="BK18" s="336"/>
    </row>
    <row r="19" ht="52.5" customHeight="1">
      <c r="A19" s="180"/>
      <c r="B19" s="61"/>
      <c r="C19" s="96" t="s">
        <v>47</v>
      </c>
      <c r="D19" s="164"/>
      <c r="E19" s="61"/>
      <c r="F19" s="326">
        <f t="shared" si="1"/>
        <v>6.695041948</v>
      </c>
      <c r="G19" s="191"/>
      <c r="H19" s="61"/>
      <c r="I19" s="55">
        <v>7.076923076923077</v>
      </c>
      <c r="J19" s="102">
        <v>1.0377490433255416</v>
      </c>
      <c r="K19" s="57">
        <v>-0.9230769230769234</v>
      </c>
      <c r="L19" s="184"/>
      <c r="M19" s="338"/>
      <c r="N19" s="326">
        <v>7.34375</v>
      </c>
      <c r="O19" s="443">
        <v>1.165028611951941</v>
      </c>
      <c r="P19" s="343">
        <v>0.34375</v>
      </c>
      <c r="Q19" s="184"/>
      <c r="R19" s="338"/>
      <c r="S19" s="326">
        <v>6.607142857142857</v>
      </c>
      <c r="T19" s="374">
        <v>1.0773645092141684</v>
      </c>
      <c r="U19" s="375">
        <v>0.6071428571428568</v>
      </c>
      <c r="V19" s="184"/>
      <c r="W19" s="338"/>
      <c r="X19" s="326">
        <v>6.75</v>
      </c>
      <c r="Y19" s="444">
        <v>0.8089572082044157</v>
      </c>
      <c r="Z19" s="375">
        <v>0.75</v>
      </c>
      <c r="AA19" s="184"/>
      <c r="AB19" s="338"/>
      <c r="AC19" s="326">
        <v>6.594736842105263</v>
      </c>
      <c r="AD19" s="394">
        <v>1.1683196310230852</v>
      </c>
      <c r="AE19" s="445">
        <v>0.594736842105263</v>
      </c>
      <c r="AF19" s="184"/>
      <c r="AG19" s="338"/>
      <c r="AH19" s="326">
        <v>6.764705882352941</v>
      </c>
      <c r="AI19" s="397">
        <v>1.0173133590925836</v>
      </c>
      <c r="AJ19" s="375">
        <v>-1.2352941176470589</v>
      </c>
      <c r="AK19" s="184"/>
      <c r="AL19" s="338"/>
      <c r="AM19" s="326">
        <v>6.423076923076923</v>
      </c>
      <c r="AN19" s="391">
        <v>1.0377490433255416</v>
      </c>
      <c r="AO19" s="446">
        <v>0.42307692307692335</v>
      </c>
      <c r="AP19" s="184"/>
      <c r="AQ19" s="338"/>
      <c r="AR19" s="326">
        <v>6.0</v>
      </c>
      <c r="AS19" s="340">
        <v>0.408248290463863</v>
      </c>
      <c r="AT19" s="343">
        <v>-1.0</v>
      </c>
      <c r="AU19" s="184"/>
      <c r="AV19" s="338"/>
      <c r="AW19" s="326">
        <v>6.857142857142857</v>
      </c>
      <c r="AX19" s="378">
        <v>1.027105182026191</v>
      </c>
      <c r="AY19" s="343">
        <v>-0.14285714285714324</v>
      </c>
      <c r="AZ19" s="335"/>
      <c r="BA19" s="61"/>
      <c r="BB19" s="55">
        <v>8.15</v>
      </c>
      <c r="BC19" s="121">
        <v>1.14</v>
      </c>
      <c r="BD19" s="354">
        <v>-0.85</v>
      </c>
      <c r="BE19" s="336"/>
      <c r="BF19" s="61"/>
      <c r="BG19" s="55">
        <v>7.636363636363637</v>
      </c>
      <c r="BH19" s="337">
        <v>0.8090398349558905</v>
      </c>
      <c r="BI19" s="185">
        <v>-0.3636363636363633</v>
      </c>
      <c r="BJ19" s="336"/>
      <c r="BK19" s="336"/>
    </row>
    <row r="20" ht="52.5" customHeight="1">
      <c r="A20" s="180"/>
      <c r="B20" s="61"/>
      <c r="C20" s="96" t="s">
        <v>48</v>
      </c>
      <c r="D20" s="164"/>
      <c r="E20" s="70"/>
      <c r="F20" s="326">
        <f t="shared" si="1"/>
        <v>6.857986528</v>
      </c>
      <c r="G20" s="447"/>
      <c r="H20" s="70"/>
      <c r="I20" s="71">
        <v>7.166666666666667</v>
      </c>
      <c r="J20" s="448">
        <v>1.337115846843043</v>
      </c>
      <c r="K20" s="449"/>
      <c r="L20" s="184"/>
      <c r="M20" s="359"/>
      <c r="N20" s="361">
        <v>5.90625</v>
      </c>
      <c r="O20" s="450">
        <v>1.2938154170256797</v>
      </c>
      <c r="P20" s="451">
        <v>0.40625</v>
      </c>
      <c r="Q20" s="184"/>
      <c r="R20" s="359"/>
      <c r="S20" s="361">
        <v>6.671428571428572</v>
      </c>
      <c r="T20" s="452">
        <v>1.1750146129556605</v>
      </c>
      <c r="U20" s="453">
        <v>-0.3285714285714283</v>
      </c>
      <c r="V20" s="184"/>
      <c r="W20" s="359"/>
      <c r="X20" s="361">
        <v>7.105555555555556</v>
      </c>
      <c r="Y20" s="454">
        <v>1.1884108134134042</v>
      </c>
      <c r="Z20" s="453">
        <v>2.105555555555556</v>
      </c>
      <c r="AA20" s="184"/>
      <c r="AB20" s="359"/>
      <c r="AC20" s="361">
        <v>7.7368421052631575</v>
      </c>
      <c r="AD20" s="452">
        <v>0.9911892555667041</v>
      </c>
      <c r="AE20" s="453">
        <v>1.7368421052631575</v>
      </c>
      <c r="AF20" s="184"/>
      <c r="AG20" s="359"/>
      <c r="AH20" s="361">
        <v>6.661764705882353</v>
      </c>
      <c r="AI20" s="455">
        <v>1.2149497689931343</v>
      </c>
      <c r="AJ20" s="453">
        <v>0.6617647058823533</v>
      </c>
      <c r="AK20" s="184"/>
      <c r="AL20" s="359"/>
      <c r="AM20" s="361">
        <v>7.423076923076923</v>
      </c>
      <c r="AN20" s="456">
        <v>1.1519214716824568</v>
      </c>
      <c r="AO20" s="453">
        <v>-0.5769230769230766</v>
      </c>
      <c r="AP20" s="184"/>
      <c r="AQ20" s="359"/>
      <c r="AR20" s="361">
        <v>6.1923076923076925</v>
      </c>
      <c r="AS20" s="456">
        <v>0.7510676161988108</v>
      </c>
      <c r="AT20" s="457">
        <v>-1.8076923076923075</v>
      </c>
      <c r="AU20" s="184"/>
      <c r="AV20" s="359"/>
      <c r="AW20" s="361">
        <v>7.857142857142857</v>
      </c>
      <c r="AX20" s="452">
        <v>1.167320591199077</v>
      </c>
      <c r="AY20" s="457">
        <v>-0.14285714285714324</v>
      </c>
      <c r="AZ20" s="335"/>
      <c r="BA20" s="70"/>
      <c r="BB20" s="71">
        <v>8.15</v>
      </c>
      <c r="BC20" s="222">
        <v>1.28</v>
      </c>
      <c r="BD20" s="76">
        <v>0.15</v>
      </c>
      <c r="BE20" s="336"/>
      <c r="BF20" s="70"/>
      <c r="BG20" s="71">
        <v>7.916666666666667</v>
      </c>
      <c r="BH20" s="76">
        <v>0.9003366373785199</v>
      </c>
      <c r="BI20" s="366">
        <v>-0.08333333333333304</v>
      </c>
      <c r="BJ20" s="336"/>
      <c r="BK20" s="336"/>
    </row>
    <row r="21" ht="52.5" customHeight="1">
      <c r="A21" s="180"/>
      <c r="B21" s="458" t="s">
        <v>49</v>
      </c>
      <c r="C21" s="110" t="s">
        <v>50</v>
      </c>
      <c r="D21" s="164"/>
      <c r="E21" s="79">
        <f>AVERAGE(F21:F24)</f>
        <v>7.332759034</v>
      </c>
      <c r="F21" s="326">
        <f t="shared" si="1"/>
        <v>7.503809935</v>
      </c>
      <c r="G21" s="191"/>
      <c r="H21" s="79">
        <f>AVERAGE(I21:I24)</f>
        <v>7.505769231</v>
      </c>
      <c r="I21" s="80">
        <v>7.561538461538461</v>
      </c>
      <c r="J21" s="210">
        <v>1.0720218137849478</v>
      </c>
      <c r="K21" s="81">
        <v>0.5615384615384613</v>
      </c>
      <c r="L21" s="184"/>
      <c r="M21" s="329">
        <f>AVERAGE(N21:N24)</f>
        <v>6.03125</v>
      </c>
      <c r="N21" s="326">
        <v>6.125</v>
      </c>
      <c r="O21" s="459">
        <v>1.5</v>
      </c>
      <c r="P21" s="347">
        <v>0.125</v>
      </c>
      <c r="Q21" s="184"/>
      <c r="R21" s="329">
        <f>AVERAGE(S21:S24)</f>
        <v>7.107142857</v>
      </c>
      <c r="S21" s="326">
        <v>7.5</v>
      </c>
      <c r="T21" s="460">
        <v>1.286019499792345</v>
      </c>
      <c r="U21" s="461">
        <v>-0.5</v>
      </c>
      <c r="V21" s="184"/>
      <c r="W21" s="329">
        <f>AVERAGE(X21:X24)</f>
        <v>8.065972222</v>
      </c>
      <c r="X21" s="326">
        <v>8.291666666666666</v>
      </c>
      <c r="Y21" s="462">
        <v>1.1765165432201063</v>
      </c>
      <c r="Z21" s="463">
        <v>0.2916666666666661</v>
      </c>
      <c r="AA21" s="184"/>
      <c r="AB21" s="329">
        <f>AVERAGE(AC21:AC24)</f>
        <v>7.838815789</v>
      </c>
      <c r="AC21" s="326">
        <v>7.921052631578948</v>
      </c>
      <c r="AD21" s="460">
        <v>1.1578615093584386</v>
      </c>
      <c r="AE21" s="464">
        <v>1.9210526315789478</v>
      </c>
      <c r="AF21" s="184"/>
      <c r="AG21" s="329">
        <f>AVERAGE(AH21:AH24)</f>
        <v>7.569852941</v>
      </c>
      <c r="AH21" s="326">
        <v>7.823529411764706</v>
      </c>
      <c r="AI21" s="460">
        <v>1.1850788010532811</v>
      </c>
      <c r="AJ21" s="347">
        <v>-0.17647058823529438</v>
      </c>
      <c r="AK21" s="184"/>
      <c r="AL21" s="329">
        <f>AVERAGE(AM21:AM24)</f>
        <v>7.4375</v>
      </c>
      <c r="AM21" s="326">
        <v>7.538461538461538</v>
      </c>
      <c r="AN21" s="465">
        <v>1.1266014242982163</v>
      </c>
      <c r="AO21" s="347">
        <v>-0.4615384615384617</v>
      </c>
      <c r="AP21" s="184"/>
      <c r="AQ21" s="329">
        <f>AVERAGE(AR21:AR24)</f>
        <v>7.105769231</v>
      </c>
      <c r="AR21" s="326">
        <v>7.269230769230769</v>
      </c>
      <c r="AS21" s="466">
        <v>1.0530785151043387</v>
      </c>
      <c r="AT21" s="347">
        <v>-0.7307692307692308</v>
      </c>
      <c r="AU21" s="184"/>
      <c r="AV21" s="329">
        <f>AVERAGE(AW21:AW23)</f>
        <v>8.047619048</v>
      </c>
      <c r="AW21" s="326">
        <v>8.285714285714286</v>
      </c>
      <c r="AX21" s="462">
        <v>1.138728807356386</v>
      </c>
      <c r="AY21" s="430">
        <v>0.2857142857142865</v>
      </c>
      <c r="AZ21" s="335"/>
      <c r="BA21" s="79">
        <f>AVERAGE(BB21:BB23)</f>
        <v>7.196666667</v>
      </c>
      <c r="BB21" s="80">
        <v>7.43</v>
      </c>
      <c r="BC21" s="467">
        <v>1.09</v>
      </c>
      <c r="BD21" s="279">
        <v>-1.57</v>
      </c>
      <c r="BE21" s="336"/>
      <c r="BF21" s="79">
        <f>AVERAGE(BG21:BG23)</f>
        <v>8.194444444</v>
      </c>
      <c r="BG21" s="80">
        <v>8.583333333333334</v>
      </c>
      <c r="BH21" s="81">
        <v>1.3113721705515067</v>
      </c>
      <c r="BI21" s="277">
        <v>0.5833333333333339</v>
      </c>
      <c r="BJ21" s="336"/>
      <c r="BK21" s="336"/>
    </row>
    <row r="22" ht="52.5" customHeight="1">
      <c r="A22" s="180"/>
      <c r="B22" s="61"/>
      <c r="C22" s="110" t="s">
        <v>51</v>
      </c>
      <c r="D22" s="164"/>
      <c r="E22" s="61"/>
      <c r="F22" s="326">
        <f t="shared" si="1"/>
        <v>7.051711664</v>
      </c>
      <c r="G22" s="191"/>
      <c r="H22" s="61"/>
      <c r="I22" s="55">
        <v>7.384615384615385</v>
      </c>
      <c r="J22" s="87">
        <v>1.192927878405448</v>
      </c>
      <c r="K22" s="57">
        <v>0.384615384615385</v>
      </c>
      <c r="L22" s="184"/>
      <c r="M22" s="338"/>
      <c r="N22" s="330">
        <v>5.4375</v>
      </c>
      <c r="O22" s="238">
        <v>1.5041608956491324</v>
      </c>
      <c r="P22" s="185">
        <v>1.4375</v>
      </c>
      <c r="Q22" s="184"/>
      <c r="R22" s="338"/>
      <c r="S22" s="330">
        <v>6.714285714285714</v>
      </c>
      <c r="T22" s="57">
        <v>0.9138735334633754</v>
      </c>
      <c r="U22" s="57">
        <v>-0.2857142857142856</v>
      </c>
      <c r="V22" s="184"/>
      <c r="W22" s="338"/>
      <c r="X22" s="330">
        <v>7.75</v>
      </c>
      <c r="Y22" s="60">
        <v>1.0880365478290537</v>
      </c>
      <c r="Z22" s="57">
        <v>-0.25</v>
      </c>
      <c r="AA22" s="184"/>
      <c r="AB22" s="338"/>
      <c r="AC22" s="330">
        <v>7.552631578947368</v>
      </c>
      <c r="AD22" s="60">
        <v>0.7974740825134705</v>
      </c>
      <c r="AE22" s="57">
        <v>1.5526315789473681</v>
      </c>
      <c r="AF22" s="184"/>
      <c r="AG22" s="338"/>
      <c r="AH22" s="330">
        <v>7.382352941176471</v>
      </c>
      <c r="AI22" s="57">
        <v>1.3408184506662557</v>
      </c>
      <c r="AJ22" s="57">
        <v>-0.617647058823529</v>
      </c>
      <c r="AK22" s="184"/>
      <c r="AL22" s="338"/>
      <c r="AM22" s="330">
        <v>7.346153846153846</v>
      </c>
      <c r="AN22" s="198">
        <v>0.9870962335856491</v>
      </c>
      <c r="AO22" s="57">
        <v>-0.6538461538461542</v>
      </c>
      <c r="AP22" s="184"/>
      <c r="AQ22" s="338"/>
      <c r="AR22" s="330">
        <v>6.846153846153846</v>
      </c>
      <c r="AS22" s="63">
        <v>0.987096233585649</v>
      </c>
      <c r="AT22" s="57">
        <v>0.8461538461538458</v>
      </c>
      <c r="AU22" s="184"/>
      <c r="AV22" s="338"/>
      <c r="AW22" s="330">
        <v>7.928571428571429</v>
      </c>
      <c r="AX22" s="57">
        <v>1.2066664642907565</v>
      </c>
      <c r="AY22" s="468">
        <v>-0.07142857142857117</v>
      </c>
      <c r="AZ22" s="335"/>
      <c r="BA22" s="61"/>
      <c r="BB22" s="55">
        <v>6.93</v>
      </c>
      <c r="BC22" s="87">
        <v>1.0</v>
      </c>
      <c r="BD22" s="146">
        <v>-2.07</v>
      </c>
      <c r="BE22" s="336"/>
      <c r="BF22" s="61"/>
      <c r="BG22" s="55">
        <v>8.083333333333334</v>
      </c>
      <c r="BH22" s="57">
        <v>1.378954368902449</v>
      </c>
      <c r="BI22" s="57">
        <v>1.083333333333334</v>
      </c>
      <c r="BJ22" s="336"/>
      <c r="BK22" s="336"/>
    </row>
    <row r="23" ht="52.5" customHeight="1">
      <c r="A23" s="180"/>
      <c r="B23" s="61"/>
      <c r="C23" s="110" t="s">
        <v>52</v>
      </c>
      <c r="D23" s="164"/>
      <c r="E23" s="61"/>
      <c r="F23" s="326">
        <f t="shared" si="1"/>
        <v>7.235584159</v>
      </c>
      <c r="G23" s="191"/>
      <c r="H23" s="61"/>
      <c r="I23" s="55">
        <v>7.384615384615385</v>
      </c>
      <c r="J23" s="56">
        <v>0.9607689228305228</v>
      </c>
      <c r="K23" s="57">
        <v>-0.615384615384615</v>
      </c>
      <c r="L23" s="184"/>
      <c r="M23" s="338"/>
      <c r="N23" s="326">
        <v>5.5625</v>
      </c>
      <c r="O23" s="469">
        <v>1.631716887208072</v>
      </c>
      <c r="P23" s="390">
        <v>-0.4375</v>
      </c>
      <c r="Q23" s="184"/>
      <c r="R23" s="338"/>
      <c r="S23" s="326">
        <v>7.0</v>
      </c>
      <c r="T23" s="374">
        <v>0.9607689228305228</v>
      </c>
      <c r="U23" s="375">
        <v>-1.0</v>
      </c>
      <c r="V23" s="184"/>
      <c r="W23" s="338"/>
      <c r="X23" s="330">
        <v>8.11111111111111</v>
      </c>
      <c r="Y23" s="236">
        <v>1.3234931004459767</v>
      </c>
      <c r="Z23" s="57">
        <v>-1.8888888888888893</v>
      </c>
      <c r="AA23" s="184"/>
      <c r="AB23" s="338"/>
      <c r="AC23" s="330">
        <v>7.907894736842105</v>
      </c>
      <c r="AD23" s="470">
        <v>1.1217871601817069</v>
      </c>
      <c r="AE23" s="57">
        <v>1.9078947368421053</v>
      </c>
      <c r="AF23" s="184"/>
      <c r="AG23" s="338"/>
      <c r="AH23" s="326">
        <v>7.514705882352941</v>
      </c>
      <c r="AI23" s="398">
        <v>1.5064200843683129</v>
      </c>
      <c r="AJ23" s="375">
        <v>-0.4852941176470589</v>
      </c>
      <c r="AK23" s="184"/>
      <c r="AL23" s="338"/>
      <c r="AM23" s="330">
        <v>7.5576923076923075</v>
      </c>
      <c r="AN23" s="63">
        <v>1.429429687242164</v>
      </c>
      <c r="AO23" s="57">
        <v>-0.4423076923076925</v>
      </c>
      <c r="AP23" s="184"/>
      <c r="AQ23" s="338"/>
      <c r="AR23" s="330">
        <v>6.846153846153846</v>
      </c>
      <c r="AS23" s="93">
        <v>1.143543749793731</v>
      </c>
      <c r="AT23" s="57">
        <v>-0.1538461538461542</v>
      </c>
      <c r="AU23" s="184"/>
      <c r="AV23" s="338"/>
      <c r="AW23" s="330">
        <v>7.928571428571429</v>
      </c>
      <c r="AX23" s="57">
        <v>1.1411388181101378</v>
      </c>
      <c r="AY23" s="471">
        <v>-0.07142857142857117</v>
      </c>
      <c r="AZ23" s="335"/>
      <c r="BA23" s="61"/>
      <c r="BB23" s="55">
        <v>7.23</v>
      </c>
      <c r="BC23" s="132">
        <v>1.01</v>
      </c>
      <c r="BD23" s="146">
        <v>-1.77</v>
      </c>
      <c r="BE23" s="336"/>
      <c r="BF23" s="61"/>
      <c r="BG23" s="55">
        <v>7.916666666666667</v>
      </c>
      <c r="BH23" s="270">
        <v>1.2401124093721456</v>
      </c>
      <c r="BI23" s="472">
        <v>-0.08333333333333304</v>
      </c>
      <c r="BJ23" s="336"/>
      <c r="BK23" s="336"/>
    </row>
    <row r="24" ht="52.5" customHeight="1">
      <c r="A24" s="180"/>
      <c r="B24" s="69"/>
      <c r="C24" s="110" t="s">
        <v>53</v>
      </c>
      <c r="D24" s="164"/>
      <c r="E24" s="70"/>
      <c r="F24" s="326">
        <f t="shared" si="1"/>
        <v>7.539930378</v>
      </c>
      <c r="G24" s="191"/>
      <c r="H24" s="70"/>
      <c r="I24" s="54">
        <v>7.6923076923076925</v>
      </c>
      <c r="J24" s="201">
        <v>1.2506408613597126</v>
      </c>
      <c r="K24" s="107">
        <v>0.6923076923076925</v>
      </c>
      <c r="L24" s="184"/>
      <c r="M24" s="338"/>
      <c r="N24" s="329">
        <v>7.0</v>
      </c>
      <c r="O24" s="401">
        <v>1.3165611772087666</v>
      </c>
      <c r="P24" s="347">
        <v>1.0</v>
      </c>
      <c r="Q24" s="184"/>
      <c r="R24" s="338"/>
      <c r="S24" s="329">
        <v>7.214285714285714</v>
      </c>
      <c r="T24" s="401">
        <v>0.892582375303981</v>
      </c>
      <c r="U24" s="347">
        <v>0.2142857142857144</v>
      </c>
      <c r="V24" s="184"/>
      <c r="W24" s="338"/>
      <c r="X24" s="329">
        <v>8.11111111111111</v>
      </c>
      <c r="Y24" s="401">
        <v>1.2313975269103985</v>
      </c>
      <c r="Z24" s="347">
        <v>-0.8888888888888893</v>
      </c>
      <c r="AA24" s="184"/>
      <c r="AB24" s="338"/>
      <c r="AC24" s="329">
        <v>7.973684210526316</v>
      </c>
      <c r="AD24" s="401">
        <v>1.1603840864430086</v>
      </c>
      <c r="AE24" s="347">
        <v>1.973684210526316</v>
      </c>
      <c r="AF24" s="184"/>
      <c r="AG24" s="338"/>
      <c r="AH24" s="329">
        <v>7.5588235294117645</v>
      </c>
      <c r="AI24" s="473">
        <v>1.4348601079588783</v>
      </c>
      <c r="AJ24" s="347">
        <v>-2.4411764705882355</v>
      </c>
      <c r="AK24" s="184"/>
      <c r="AL24" s="338"/>
      <c r="AM24" s="329">
        <v>7.3076923076923075</v>
      </c>
      <c r="AN24" s="346">
        <v>1.377474463442389</v>
      </c>
      <c r="AO24" s="347">
        <v>-0.6923076923076925</v>
      </c>
      <c r="AP24" s="184"/>
      <c r="AQ24" s="338"/>
      <c r="AR24" s="328">
        <v>7.461538461538462</v>
      </c>
      <c r="AS24" s="201">
        <v>1.0500305245868344</v>
      </c>
      <c r="AT24" s="406">
        <v>-0.5384615384615383</v>
      </c>
      <c r="AU24" s="184"/>
      <c r="AV24" s="338"/>
      <c r="AW24" s="329">
        <v>8.5</v>
      </c>
      <c r="AX24" s="401">
        <v>1.1602387022306428</v>
      </c>
      <c r="AY24" s="474">
        <v>0.5</v>
      </c>
      <c r="AZ24" s="335"/>
      <c r="BA24" s="70"/>
      <c r="BB24" s="54">
        <v>7.86</v>
      </c>
      <c r="BC24" s="475">
        <v>0.77</v>
      </c>
      <c r="BD24" s="107">
        <v>-0.14</v>
      </c>
      <c r="BE24" s="336"/>
      <c r="BF24" s="70"/>
      <c r="BG24" s="54">
        <v>8.5</v>
      </c>
      <c r="BH24" s="476">
        <v>0.9045340337332909</v>
      </c>
      <c r="BI24" s="477">
        <v>-0.5</v>
      </c>
      <c r="BJ24" s="336"/>
      <c r="BK24" s="336"/>
    </row>
    <row r="25" ht="52.5" customHeight="1">
      <c r="A25" s="180"/>
      <c r="B25" s="478" t="s">
        <v>54</v>
      </c>
      <c r="C25" s="127" t="s">
        <v>55</v>
      </c>
      <c r="D25" s="164"/>
      <c r="E25" s="111">
        <f>AVERAGE(F25:F29)</f>
        <v>6.801664267</v>
      </c>
      <c r="F25" s="326">
        <f t="shared" si="1"/>
        <v>7.125349517</v>
      </c>
      <c r="G25" s="191"/>
      <c r="H25" s="111">
        <f>AVERAGE(I25:I29)</f>
        <v>7.123076923</v>
      </c>
      <c r="I25" s="112">
        <v>7.769230769230769</v>
      </c>
      <c r="J25" s="479">
        <v>1.4232501627054275</v>
      </c>
      <c r="K25" s="118">
        <v>-0.23076923076923084</v>
      </c>
      <c r="L25" s="184"/>
      <c r="M25" s="413">
        <f>AVERAGE(N25:N29)</f>
        <v>6.4125</v>
      </c>
      <c r="N25" s="414">
        <v>6.53125</v>
      </c>
      <c r="O25" s="480">
        <v>1.087332362558324</v>
      </c>
      <c r="P25" s="418">
        <v>0.03125</v>
      </c>
      <c r="Q25" s="184"/>
      <c r="R25" s="413">
        <f>AVERAGE(S25:S29)</f>
        <v>6.691428571</v>
      </c>
      <c r="S25" s="414">
        <v>7.25</v>
      </c>
      <c r="T25" s="480">
        <v>0.8492077756084468</v>
      </c>
      <c r="U25" s="418">
        <v>-0.75</v>
      </c>
      <c r="V25" s="184"/>
      <c r="W25" s="413">
        <f>AVERAGE(X25:X29)</f>
        <v>7</v>
      </c>
      <c r="X25" s="414">
        <v>7.194444444444445</v>
      </c>
      <c r="Y25" s="481">
        <v>0.7502722817297904</v>
      </c>
      <c r="Z25" s="482">
        <v>0.19444444444444464</v>
      </c>
      <c r="AA25" s="184"/>
      <c r="AB25" s="413">
        <f>AVERAGE(AC25:AC29)</f>
        <v>7.073684211</v>
      </c>
      <c r="AC25" s="414">
        <v>7.815789473684211</v>
      </c>
      <c r="AD25" s="483">
        <v>1.0166738567476554</v>
      </c>
      <c r="AE25" s="418">
        <v>0.8157894736842106</v>
      </c>
      <c r="AF25" s="184"/>
      <c r="AG25" s="413">
        <f>AVERAGE(AH25:AH29)</f>
        <v>7.026470588</v>
      </c>
      <c r="AH25" s="414">
        <v>6.588235294117647</v>
      </c>
      <c r="AI25" s="484">
        <v>1.1213175023946031</v>
      </c>
      <c r="AJ25" s="418">
        <v>-0.41176470588235325</v>
      </c>
      <c r="AK25" s="184"/>
      <c r="AL25" s="413">
        <f>AVERAGE(AM25:AM29)</f>
        <v>6.747692308</v>
      </c>
      <c r="AM25" s="414">
        <v>7.584615384615384</v>
      </c>
      <c r="AN25" s="481">
        <v>1.0375019307983269</v>
      </c>
      <c r="AO25" s="418">
        <v>-0.4153846153846157</v>
      </c>
      <c r="AP25" s="184"/>
      <c r="AQ25" s="413">
        <f>AVERAGE(AR25:AR29)</f>
        <v>6.338461538</v>
      </c>
      <c r="AR25" s="414">
        <v>6.269230769230769</v>
      </c>
      <c r="AS25" s="481">
        <v>0.4385290096535146</v>
      </c>
      <c r="AT25" s="423">
        <v>-0.7307692307692308</v>
      </c>
      <c r="AU25" s="184"/>
      <c r="AV25" s="413">
        <f>AVERAGE(AW25:AW29)</f>
        <v>7.392673993</v>
      </c>
      <c r="AW25" s="414">
        <v>7.642857142857143</v>
      </c>
      <c r="AX25" s="485">
        <v>0.8418973861410954</v>
      </c>
      <c r="AY25" s="423">
        <v>0.6428571428571432</v>
      </c>
      <c r="AZ25" s="335"/>
      <c r="BA25" s="111">
        <f>AVERAGE(BB25:BB29)</f>
        <v>8.148</v>
      </c>
      <c r="BB25" s="112">
        <v>8.46</v>
      </c>
      <c r="BC25" s="486">
        <v>1.05</v>
      </c>
      <c r="BD25" s="118">
        <v>0.46</v>
      </c>
      <c r="BE25" s="336"/>
      <c r="BF25" s="111">
        <f>AVERAGE(BG25:BG29)</f>
        <v>7.918181818</v>
      </c>
      <c r="BG25" s="112">
        <v>8.166666666666666</v>
      </c>
      <c r="BH25" s="487">
        <v>1.0298573010888745</v>
      </c>
      <c r="BI25" s="118">
        <v>0.16666666666666607</v>
      </c>
      <c r="BJ25" s="336"/>
      <c r="BK25" s="336"/>
    </row>
    <row r="26" ht="52.5" customHeight="1">
      <c r="A26" s="180"/>
      <c r="B26" s="61"/>
      <c r="C26" s="127" t="s">
        <v>56</v>
      </c>
      <c r="D26" s="164"/>
      <c r="E26" s="61"/>
      <c r="F26" s="326">
        <f t="shared" si="1"/>
        <v>6.82926649</v>
      </c>
      <c r="G26" s="191"/>
      <c r="H26" s="61"/>
      <c r="I26" s="55">
        <v>7.230769230769231</v>
      </c>
      <c r="J26" s="63">
        <v>1.4232501627054275</v>
      </c>
      <c r="K26" s="57">
        <v>-0.7692307692307692</v>
      </c>
      <c r="L26" s="184"/>
      <c r="M26" s="338"/>
      <c r="N26" s="326">
        <v>6.28125</v>
      </c>
      <c r="O26" s="488">
        <v>1.125</v>
      </c>
      <c r="P26" s="489">
        <v>2.28125</v>
      </c>
      <c r="Q26" s="184"/>
      <c r="R26" s="338"/>
      <c r="S26" s="326">
        <v>6.457142857142857</v>
      </c>
      <c r="T26" s="490">
        <v>0.7511163852398801</v>
      </c>
      <c r="U26" s="491">
        <v>-0.5428571428571427</v>
      </c>
      <c r="V26" s="184"/>
      <c r="W26" s="338"/>
      <c r="X26" s="326">
        <v>7.041666666666667</v>
      </c>
      <c r="Y26" s="492">
        <v>0.9634878429588054</v>
      </c>
      <c r="Z26" s="489">
        <v>0.04166666666666696</v>
      </c>
      <c r="AA26" s="184"/>
      <c r="AB26" s="338"/>
      <c r="AC26" s="326">
        <v>7.25</v>
      </c>
      <c r="AD26" s="493">
        <v>1.2104865871944959</v>
      </c>
      <c r="AE26" s="489">
        <v>1.25</v>
      </c>
      <c r="AF26" s="184"/>
      <c r="AG26" s="338"/>
      <c r="AH26" s="326">
        <v>7.411764705882353</v>
      </c>
      <c r="AI26" s="489">
        <v>1.188950352696222</v>
      </c>
      <c r="AJ26" s="494">
        <v>-0.5882352941176467</v>
      </c>
      <c r="AK26" s="184"/>
      <c r="AL26" s="338"/>
      <c r="AM26" s="326">
        <v>6.884615384615385</v>
      </c>
      <c r="AN26" s="350">
        <v>0.9607689228305227</v>
      </c>
      <c r="AO26" s="489">
        <v>-0.11538461538461497</v>
      </c>
      <c r="AP26" s="184"/>
      <c r="AQ26" s="338"/>
      <c r="AR26" s="326">
        <v>6.076923076923077</v>
      </c>
      <c r="AS26" s="350">
        <v>0.6405126152203485</v>
      </c>
      <c r="AT26" s="351">
        <v>-0.9230769230769234</v>
      </c>
      <c r="AU26" s="184"/>
      <c r="AV26" s="338"/>
      <c r="AW26" s="326">
        <v>7.653846153846154</v>
      </c>
      <c r="AX26" s="495">
        <v>0.8987170342729172</v>
      </c>
      <c r="AY26" s="351" t="e">
        <v>#VALUE!</v>
      </c>
      <c r="AZ26" s="335"/>
      <c r="BA26" s="61"/>
      <c r="BB26" s="55">
        <v>8.21</v>
      </c>
      <c r="BC26" s="89">
        <v>1.19</v>
      </c>
      <c r="BD26" s="57">
        <v>0.21</v>
      </c>
      <c r="BE26" s="336"/>
      <c r="BF26" s="61"/>
      <c r="BG26" s="55">
        <v>8.090909090909092</v>
      </c>
      <c r="BH26" s="101">
        <v>0.8312094145936334</v>
      </c>
      <c r="BI26" s="185">
        <v>0.09090909090909172</v>
      </c>
      <c r="BJ26" s="336"/>
      <c r="BK26" s="336"/>
    </row>
    <row r="27" ht="52.5" customHeight="1">
      <c r="A27" s="180"/>
      <c r="B27" s="61"/>
      <c r="C27" s="127" t="s">
        <v>57</v>
      </c>
      <c r="D27" s="164"/>
      <c r="E27" s="61"/>
      <c r="F27" s="326">
        <f t="shared" si="1"/>
        <v>6.866133418</v>
      </c>
      <c r="G27" s="191"/>
      <c r="H27" s="61"/>
      <c r="I27" s="55">
        <v>7.153846153846154</v>
      </c>
      <c r="J27" s="63">
        <v>1.1435437497937313</v>
      </c>
      <c r="K27" s="145">
        <v>0.1538461538461542</v>
      </c>
      <c r="L27" s="184"/>
      <c r="M27" s="338"/>
      <c r="N27" s="330">
        <v>6.9375</v>
      </c>
      <c r="O27" s="57">
        <v>0.9979144919948469</v>
      </c>
      <c r="P27" s="57">
        <v>0.9375</v>
      </c>
      <c r="Q27" s="184"/>
      <c r="R27" s="338"/>
      <c r="S27" s="330">
        <v>6.964285714285714</v>
      </c>
      <c r="T27" s="57">
        <v>0.842712783316377</v>
      </c>
      <c r="U27" s="57">
        <v>-0.03571428571428559</v>
      </c>
      <c r="V27" s="184"/>
      <c r="W27" s="338"/>
      <c r="X27" s="330">
        <v>7.111111111111111</v>
      </c>
      <c r="Y27" s="136">
        <v>1.0226199851298272</v>
      </c>
      <c r="Z27" s="57">
        <v>1.1111111111111107</v>
      </c>
      <c r="AA27" s="184"/>
      <c r="AB27" s="338"/>
      <c r="AC27" s="330">
        <v>6.5394736842105265</v>
      </c>
      <c r="AD27" s="345">
        <v>1.1000730969864911</v>
      </c>
      <c r="AE27" s="57">
        <v>0.5394736842105265</v>
      </c>
      <c r="AF27" s="184"/>
      <c r="AG27" s="338"/>
      <c r="AH27" s="330">
        <v>7.338235294117647</v>
      </c>
      <c r="AI27" s="496">
        <v>1.2404043458390779</v>
      </c>
      <c r="AJ27" s="497">
        <v>-0.6617647058823533</v>
      </c>
      <c r="AK27" s="184"/>
      <c r="AL27" s="338"/>
      <c r="AM27" s="330">
        <v>6.230769230769231</v>
      </c>
      <c r="AN27" s="63">
        <v>0.9268086959962986</v>
      </c>
      <c r="AO27" s="498">
        <v>0.23076923076923084</v>
      </c>
      <c r="AP27" s="184"/>
      <c r="AQ27" s="338"/>
      <c r="AR27" s="330">
        <v>6.653846153846154</v>
      </c>
      <c r="AS27" s="63">
        <v>1.0284416890093029</v>
      </c>
      <c r="AT27" s="146">
        <v>-0.3461538461538458</v>
      </c>
      <c r="AU27" s="184"/>
      <c r="AV27" s="338"/>
      <c r="AW27" s="330">
        <v>7.666666666666667</v>
      </c>
      <c r="AX27" s="189">
        <v>1.118033988749895</v>
      </c>
      <c r="AY27" s="256">
        <v>1.666666666666667</v>
      </c>
      <c r="AZ27" s="335"/>
      <c r="BA27" s="61"/>
      <c r="BB27" s="55">
        <v>7.92</v>
      </c>
      <c r="BC27" s="194">
        <v>0.95</v>
      </c>
      <c r="BD27" s="57">
        <v>-0.08</v>
      </c>
      <c r="BE27" s="336"/>
      <c r="BF27" s="61"/>
      <c r="BG27" s="55">
        <v>7.5</v>
      </c>
      <c r="BH27" s="57">
        <v>0.8498365855987975</v>
      </c>
      <c r="BI27" s="57">
        <v>0.5</v>
      </c>
      <c r="BJ27" s="336"/>
      <c r="BK27" s="336"/>
    </row>
    <row r="28" ht="52.5" customHeight="1">
      <c r="A28" s="180"/>
      <c r="B28" s="61"/>
      <c r="C28" s="127" t="s">
        <v>58</v>
      </c>
      <c r="D28" s="164"/>
      <c r="E28" s="61"/>
      <c r="F28" s="326">
        <f t="shared" si="1"/>
        <v>6.261638318</v>
      </c>
      <c r="G28" s="191"/>
      <c r="H28" s="61"/>
      <c r="I28" s="55">
        <v>6.461538461538462</v>
      </c>
      <c r="J28" s="103">
        <v>1.1982893790305562</v>
      </c>
      <c r="K28" s="57">
        <v>-0.5384615384615383</v>
      </c>
      <c r="L28" s="184"/>
      <c r="M28" s="338"/>
      <c r="N28" s="330">
        <v>5.875</v>
      </c>
      <c r="O28" s="65">
        <v>0.6191391873668903</v>
      </c>
      <c r="P28" s="146">
        <v>0.875</v>
      </c>
      <c r="Q28" s="184"/>
      <c r="R28" s="338"/>
      <c r="S28" s="330">
        <v>6.142857142857143</v>
      </c>
      <c r="T28" s="130">
        <v>0.6629935441317959</v>
      </c>
      <c r="U28" s="57">
        <v>-0.8571428571428568</v>
      </c>
      <c r="V28" s="184"/>
      <c r="W28" s="338"/>
      <c r="X28" s="326">
        <v>6.444444444444445</v>
      </c>
      <c r="Y28" s="377">
        <v>0.6156987634551992</v>
      </c>
      <c r="Z28" s="375">
        <v>-0.5555555555555554</v>
      </c>
      <c r="AA28" s="184"/>
      <c r="AB28" s="338"/>
      <c r="AC28" s="326">
        <v>6.5131578947368425</v>
      </c>
      <c r="AD28" s="385">
        <v>1.1318424145887045</v>
      </c>
      <c r="AE28" s="375">
        <v>0.5131578947368425</v>
      </c>
      <c r="AF28" s="184"/>
      <c r="AG28" s="338"/>
      <c r="AH28" s="330">
        <v>6.617647058823529</v>
      </c>
      <c r="AI28" s="63">
        <v>0.9275204136012635</v>
      </c>
      <c r="AJ28" s="57">
        <v>1.617647058823529</v>
      </c>
      <c r="AK28" s="184"/>
      <c r="AL28" s="338"/>
      <c r="AM28" s="326">
        <v>6.1923076923076925</v>
      </c>
      <c r="AN28" s="340">
        <v>1.1463431266870159</v>
      </c>
      <c r="AO28" s="343">
        <v>-0.8076923076923075</v>
      </c>
      <c r="AP28" s="184"/>
      <c r="AQ28" s="338"/>
      <c r="AR28" s="326">
        <v>5.846153846153846</v>
      </c>
      <c r="AS28" s="340">
        <v>0.6887372317211945</v>
      </c>
      <c r="AT28" s="375">
        <v>-0.1538461538461542</v>
      </c>
      <c r="AU28" s="184"/>
      <c r="AV28" s="338"/>
      <c r="AW28" s="326">
        <v>6.642857142857143</v>
      </c>
      <c r="AX28" s="340">
        <v>1.2157392722216298</v>
      </c>
      <c r="AY28" s="390">
        <v>0.6428571428571432</v>
      </c>
      <c r="AZ28" s="335"/>
      <c r="BA28" s="61"/>
      <c r="BB28" s="55">
        <v>7.77</v>
      </c>
      <c r="BC28" s="132">
        <v>1.01</v>
      </c>
      <c r="BD28" s="57">
        <v>0.77</v>
      </c>
      <c r="BE28" s="336"/>
      <c r="BF28" s="61"/>
      <c r="BG28" s="55">
        <v>7.583333333333333</v>
      </c>
      <c r="BH28" s="183">
        <v>1.4433756729740643</v>
      </c>
      <c r="BI28" s="146">
        <v>-1.416666666666667</v>
      </c>
      <c r="BJ28" s="336"/>
      <c r="BK28" s="336"/>
    </row>
    <row r="29" ht="52.5" customHeight="1">
      <c r="A29" s="180"/>
      <c r="B29" s="69"/>
      <c r="C29" s="127" t="s">
        <v>59</v>
      </c>
      <c r="D29" s="164"/>
      <c r="E29" s="70"/>
      <c r="F29" s="326">
        <f t="shared" si="1"/>
        <v>6.925933595</v>
      </c>
      <c r="G29" s="191"/>
      <c r="H29" s="70"/>
      <c r="I29" s="71">
        <v>7.0</v>
      </c>
      <c r="J29" s="222">
        <v>1.35400640077266</v>
      </c>
      <c r="K29" s="76">
        <v>-1.0</v>
      </c>
      <c r="L29" s="184"/>
      <c r="M29" s="359"/>
      <c r="N29" s="361">
        <v>6.4375</v>
      </c>
      <c r="O29" s="499">
        <v>0.8139410298049853</v>
      </c>
      <c r="P29" s="362">
        <v>0.4375</v>
      </c>
      <c r="Q29" s="184"/>
      <c r="R29" s="359"/>
      <c r="S29" s="361">
        <v>6.642857142857143</v>
      </c>
      <c r="T29" s="499">
        <v>0.7449463436684919</v>
      </c>
      <c r="U29" s="362">
        <v>-0.35714285714285676</v>
      </c>
      <c r="V29" s="184"/>
      <c r="W29" s="359"/>
      <c r="X29" s="361">
        <v>7.208333333333333</v>
      </c>
      <c r="Y29" s="499">
        <v>0.7388882746078335</v>
      </c>
      <c r="Z29" s="362">
        <v>0.20833333333333304</v>
      </c>
      <c r="AA29" s="184"/>
      <c r="AB29" s="359"/>
      <c r="AC29" s="361">
        <v>7.25</v>
      </c>
      <c r="AD29" s="499">
        <v>1.0639287779003088</v>
      </c>
      <c r="AE29" s="362">
        <v>1.25</v>
      </c>
      <c r="AF29" s="184"/>
      <c r="AG29" s="359"/>
      <c r="AH29" s="361">
        <v>7.176470588235294</v>
      </c>
      <c r="AI29" s="500">
        <v>1.1311108542958475</v>
      </c>
      <c r="AJ29" s="362">
        <v>0.17647058823529438</v>
      </c>
      <c r="AK29" s="184"/>
      <c r="AL29" s="359"/>
      <c r="AM29" s="361">
        <v>6.846153846153846</v>
      </c>
      <c r="AN29" s="501">
        <v>0.8006407690254357</v>
      </c>
      <c r="AO29" s="362">
        <v>-0.1538461538461542</v>
      </c>
      <c r="AP29" s="184"/>
      <c r="AQ29" s="359"/>
      <c r="AR29" s="361">
        <v>6.846153846153846</v>
      </c>
      <c r="AS29" s="501">
        <v>0.8006407690254357</v>
      </c>
      <c r="AT29" s="502">
        <v>-0.1538461538461542</v>
      </c>
      <c r="AU29" s="184"/>
      <c r="AV29" s="359"/>
      <c r="AW29" s="361">
        <v>7.357142857142857</v>
      </c>
      <c r="AX29" s="503">
        <v>0.928782731664065</v>
      </c>
      <c r="AY29" s="504">
        <v>0.35714285714285676</v>
      </c>
      <c r="AZ29" s="335"/>
      <c r="BA29" s="70"/>
      <c r="BB29" s="71">
        <v>8.38</v>
      </c>
      <c r="BC29" s="203">
        <v>0.77</v>
      </c>
      <c r="BD29" s="76">
        <v>-0.62</v>
      </c>
      <c r="BE29" s="336"/>
      <c r="BF29" s="70"/>
      <c r="BG29" s="71">
        <v>8.25</v>
      </c>
      <c r="BH29" s="505">
        <v>0.6215815605080611</v>
      </c>
      <c r="BI29" s="366">
        <v>-0.75</v>
      </c>
      <c r="BJ29" s="336"/>
      <c r="BK29" s="336"/>
    </row>
    <row r="30" ht="52.5" customHeight="1">
      <c r="A30" s="180"/>
      <c r="B30" s="506" t="s">
        <v>60</v>
      </c>
      <c r="C30" s="140" t="s">
        <v>61</v>
      </c>
      <c r="D30" s="164"/>
      <c r="E30" s="79">
        <f>AVERAGE(F30:F36)</f>
        <v>6.818698962</v>
      </c>
      <c r="F30" s="326">
        <f t="shared" si="1"/>
        <v>6.405117715</v>
      </c>
      <c r="G30" s="191"/>
      <c r="H30" s="79">
        <f>AVERAGE(I30:I36)</f>
        <v>6.983516484</v>
      </c>
      <c r="I30" s="80">
        <v>6.615384615384615</v>
      </c>
      <c r="J30" s="81">
        <v>1.192927878405448</v>
      </c>
      <c r="K30" s="81">
        <v>-0.384615384615385</v>
      </c>
      <c r="L30" s="184"/>
      <c r="M30" s="329">
        <f>AVERAGE(N30:N36)</f>
        <v>6.392857143</v>
      </c>
      <c r="N30" s="326">
        <v>5.25</v>
      </c>
      <c r="O30" s="507">
        <v>0.8563488385776752</v>
      </c>
      <c r="P30" s="508">
        <v>0.25</v>
      </c>
      <c r="Q30" s="184"/>
      <c r="R30" s="329">
        <f>AVERAGE(S30:S36)</f>
        <v>6.520408163</v>
      </c>
      <c r="S30" s="326">
        <v>5.785714285714286</v>
      </c>
      <c r="T30" s="509">
        <v>0.9749612559222293</v>
      </c>
      <c r="U30" s="510">
        <v>0.7857142857142856</v>
      </c>
      <c r="V30" s="184"/>
      <c r="W30" s="329">
        <f>AVERAGE(X30:X36)</f>
        <v>7.422619048</v>
      </c>
      <c r="X30" s="326">
        <v>7.25</v>
      </c>
      <c r="Y30" s="511">
        <v>1.239663142100447</v>
      </c>
      <c r="Z30" s="510">
        <v>-0.75</v>
      </c>
      <c r="AA30" s="184"/>
      <c r="AB30" s="329">
        <f>AVERAGE(AC30:AC36)</f>
        <v>7.04887218</v>
      </c>
      <c r="AC30" s="326">
        <v>6.842105263157895</v>
      </c>
      <c r="AD30" s="512">
        <v>0.8983415518941832</v>
      </c>
      <c r="AE30" s="510">
        <v>0.8421052631578947</v>
      </c>
      <c r="AF30" s="184"/>
      <c r="AG30" s="329">
        <f>AVERAGE(AH30:AH36)</f>
        <v>7.035714286</v>
      </c>
      <c r="AH30" s="326">
        <v>6.382352941176471</v>
      </c>
      <c r="AI30" s="513">
        <v>1.1114378604524224</v>
      </c>
      <c r="AJ30" s="514">
        <v>1.382352941176471</v>
      </c>
      <c r="AK30" s="184"/>
      <c r="AL30" s="329">
        <f>AVERAGE(AM30:AM36)</f>
        <v>6.766483516</v>
      </c>
      <c r="AM30" s="326">
        <v>6.769230769230769</v>
      </c>
      <c r="AN30" s="515">
        <v>1.3480755514093756</v>
      </c>
      <c r="AO30" s="510">
        <v>-0.23076923076923084</v>
      </c>
      <c r="AP30" s="184"/>
      <c r="AQ30" s="329">
        <f>AVERAGE(AR30:AR36)</f>
        <v>6.379120879</v>
      </c>
      <c r="AR30" s="326">
        <v>6.346153846153846</v>
      </c>
      <c r="AS30" s="515">
        <v>0.943941545343588</v>
      </c>
      <c r="AT30" s="516">
        <v>-0.6538461538461542</v>
      </c>
      <c r="AU30" s="184"/>
      <c r="AV30" s="329">
        <f>AVERAGE(AW30:AW36)</f>
        <v>7.455782313</v>
      </c>
      <c r="AW30" s="326">
        <v>6.928571428571429</v>
      </c>
      <c r="AX30" s="510">
        <v>1.071611705960535</v>
      </c>
      <c r="AY30" s="508">
        <v>1.9285714285714288</v>
      </c>
      <c r="AZ30" s="335"/>
      <c r="BA30" s="79">
        <f>AVERAGE(BB30:BB36)</f>
        <v>7.824285714</v>
      </c>
      <c r="BB30" s="80">
        <v>7.93</v>
      </c>
      <c r="BC30" s="517">
        <v>1.0</v>
      </c>
      <c r="BD30" s="518">
        <v>-1.07</v>
      </c>
      <c r="BE30" s="336"/>
      <c r="BF30" s="79">
        <f>AVERAGE(BG30:BG36)</f>
        <v>7.923376623</v>
      </c>
      <c r="BG30" s="80">
        <v>7.583333333333333</v>
      </c>
      <c r="BH30" s="519">
        <v>0.7929614610987591</v>
      </c>
      <c r="BI30" s="81">
        <v>-0.41666666666666696</v>
      </c>
      <c r="BJ30" s="336"/>
      <c r="BK30" s="336"/>
    </row>
    <row r="31" ht="52.5" customHeight="1">
      <c r="A31" s="180"/>
      <c r="B31" s="61"/>
      <c r="C31" s="140" t="s">
        <v>62</v>
      </c>
      <c r="D31" s="164"/>
      <c r="E31" s="61"/>
      <c r="F31" s="326">
        <f t="shared" si="1"/>
        <v>6.870361442</v>
      </c>
      <c r="G31" s="191"/>
      <c r="H31" s="61"/>
      <c r="I31" s="55">
        <v>7.076923076923077</v>
      </c>
      <c r="J31" s="63">
        <v>0.9540735874430286</v>
      </c>
      <c r="K31" s="271">
        <v>0.07692307692307665</v>
      </c>
      <c r="L31" s="184"/>
      <c r="M31" s="338"/>
      <c r="N31" s="326">
        <v>5.9375</v>
      </c>
      <c r="O31" s="520">
        <v>1.0626225419530053</v>
      </c>
      <c r="P31" s="521">
        <v>-0.0625</v>
      </c>
      <c r="Q31" s="184"/>
      <c r="R31" s="338"/>
      <c r="S31" s="326">
        <v>6.714285714285714</v>
      </c>
      <c r="T31" s="401">
        <v>0.825420305855557</v>
      </c>
      <c r="U31" s="347">
        <v>-1.2857142857142856</v>
      </c>
      <c r="V31" s="184"/>
      <c r="W31" s="338"/>
      <c r="X31" s="326">
        <v>7.666666666666667</v>
      </c>
      <c r="Y31" s="522">
        <v>1.1881770515720091</v>
      </c>
      <c r="Z31" s="347">
        <v>-0.33333333333333304</v>
      </c>
      <c r="AA31" s="184"/>
      <c r="AB31" s="338"/>
      <c r="AC31" s="326">
        <v>7.368421052631579</v>
      </c>
      <c r="AD31" s="348">
        <v>1.01162829777814</v>
      </c>
      <c r="AE31" s="347">
        <v>1.3684210526315788</v>
      </c>
      <c r="AF31" s="184"/>
      <c r="AG31" s="338"/>
      <c r="AH31" s="326">
        <v>6.852941176470588</v>
      </c>
      <c r="AI31" s="523">
        <v>1.195887561112469</v>
      </c>
      <c r="AJ31" s="524">
        <v>0.8529411764705879</v>
      </c>
      <c r="AK31" s="184"/>
      <c r="AL31" s="338"/>
      <c r="AM31" s="326">
        <v>6.8076923076923075</v>
      </c>
      <c r="AN31" s="525">
        <v>0.8046340145904206</v>
      </c>
      <c r="AO31" s="347">
        <v>-0.1923076923076925</v>
      </c>
      <c r="AP31" s="184"/>
      <c r="AQ31" s="338"/>
      <c r="AR31" s="326">
        <v>6.538461538461538</v>
      </c>
      <c r="AS31" s="346">
        <v>0.8770580193070292</v>
      </c>
      <c r="AT31" s="406">
        <v>-1.4615384615384617</v>
      </c>
      <c r="AU31" s="184"/>
      <c r="AV31" s="338"/>
      <c r="AW31" s="326">
        <v>7.333333333333333</v>
      </c>
      <c r="AX31" s="473">
        <v>0.8660254037844385</v>
      </c>
      <c r="AY31" s="406">
        <v>1.333333333333333</v>
      </c>
      <c r="AZ31" s="335"/>
      <c r="BA31" s="61"/>
      <c r="BB31" s="55">
        <v>8.67</v>
      </c>
      <c r="BC31" s="86">
        <v>0.98</v>
      </c>
      <c r="BD31" s="57">
        <v>0.67</v>
      </c>
      <c r="BE31" s="336"/>
      <c r="BF31" s="61"/>
      <c r="BG31" s="55">
        <v>8.1</v>
      </c>
      <c r="BH31" s="57">
        <v>1.3703203194062976</v>
      </c>
      <c r="BI31" s="57">
        <v>1.0999999999999996</v>
      </c>
      <c r="BJ31" s="336"/>
      <c r="BK31" s="336"/>
    </row>
    <row r="32" ht="52.5" customHeight="1">
      <c r="A32" s="180"/>
      <c r="B32" s="61"/>
      <c r="C32" s="140" t="s">
        <v>63</v>
      </c>
      <c r="D32" s="164"/>
      <c r="E32" s="61"/>
      <c r="F32" s="326">
        <f t="shared" si="1"/>
        <v>6.377092305</v>
      </c>
      <c r="G32" s="169"/>
      <c r="H32" s="61"/>
      <c r="I32" s="55">
        <v>6.615384615384615</v>
      </c>
      <c r="J32" s="63">
        <v>1.7097008285302207</v>
      </c>
      <c r="K32" s="57">
        <v>-0.384615384615385</v>
      </c>
      <c r="L32" s="184"/>
      <c r="M32" s="338"/>
      <c r="N32" s="55">
        <v>6.0625</v>
      </c>
      <c r="O32" s="57">
        <v>0.4425306015783918</v>
      </c>
      <c r="P32" s="185">
        <v>1.0625</v>
      </c>
      <c r="Q32" s="184"/>
      <c r="R32" s="338"/>
      <c r="S32" s="330">
        <v>6.0</v>
      </c>
      <c r="T32" s="270">
        <v>0.8770580193070292</v>
      </c>
      <c r="U32" s="57">
        <v>0.0</v>
      </c>
      <c r="V32" s="184"/>
      <c r="W32" s="338"/>
      <c r="X32" s="330">
        <v>6.819444444444445</v>
      </c>
      <c r="Y32" s="526">
        <v>0.7755716845711276</v>
      </c>
      <c r="Z32" s="57">
        <v>0.8194444444444446</v>
      </c>
      <c r="AA32" s="184"/>
      <c r="AB32" s="338"/>
      <c r="AC32" s="55">
        <v>6.815789473684211</v>
      </c>
      <c r="AD32" s="270">
        <v>1.169170246083728</v>
      </c>
      <c r="AE32" s="57">
        <v>0.8157894736842106</v>
      </c>
      <c r="AF32" s="184"/>
      <c r="AG32" s="338"/>
      <c r="AH32" s="55">
        <v>6.588235294117647</v>
      </c>
      <c r="AI32" s="60">
        <v>1.371988681140071</v>
      </c>
      <c r="AJ32" s="66">
        <v>-0.41176470588235325</v>
      </c>
      <c r="AK32" s="184"/>
      <c r="AL32" s="338"/>
      <c r="AM32" s="55">
        <v>6.423076923076923</v>
      </c>
      <c r="AN32" s="63">
        <v>0.8623164985025763</v>
      </c>
      <c r="AO32" s="146">
        <v>0.42307692307692335</v>
      </c>
      <c r="AP32" s="184"/>
      <c r="AQ32" s="338"/>
      <c r="AR32" s="55">
        <v>5.6923076923076925</v>
      </c>
      <c r="AS32" s="63">
        <v>0.947330933431342</v>
      </c>
      <c r="AT32" s="146">
        <v>-1.3076923076923075</v>
      </c>
      <c r="AU32" s="184"/>
      <c r="AV32" s="338"/>
      <c r="AW32" s="55">
        <v>7.0</v>
      </c>
      <c r="AX32" s="57">
        <v>0.8770580193070292</v>
      </c>
      <c r="AY32" s="146">
        <v>1.0</v>
      </c>
      <c r="AZ32" s="527"/>
      <c r="BA32" s="61"/>
      <c r="BB32" s="55">
        <v>6.92</v>
      </c>
      <c r="BC32" s="269">
        <v>0.9</v>
      </c>
      <c r="BD32" s="256">
        <v>-1.08</v>
      </c>
      <c r="BE32" s="336"/>
      <c r="BF32" s="61"/>
      <c r="BG32" s="55">
        <v>7.416666666666667</v>
      </c>
      <c r="BH32" s="57">
        <v>0.6685579234215215</v>
      </c>
      <c r="BI32" s="146">
        <v>-0.583333333333333</v>
      </c>
      <c r="BJ32" s="336"/>
      <c r="BK32" s="336"/>
    </row>
    <row r="33" ht="52.5" customHeight="1">
      <c r="A33" s="180"/>
      <c r="B33" s="61"/>
      <c r="C33" s="140" t="s">
        <v>64</v>
      </c>
      <c r="D33" s="164"/>
      <c r="E33" s="61"/>
      <c r="F33" s="326">
        <f t="shared" si="1"/>
        <v>7.010770735</v>
      </c>
      <c r="G33" s="169"/>
      <c r="H33" s="61"/>
      <c r="I33" s="55">
        <v>6.769230769230769</v>
      </c>
      <c r="J33" s="63">
        <v>1.3008872711759818</v>
      </c>
      <c r="K33" s="57">
        <v>-1.2307692307692308</v>
      </c>
      <c r="L33" s="184"/>
      <c r="M33" s="338"/>
      <c r="N33" s="55">
        <v>6.8125</v>
      </c>
      <c r="O33" s="194">
        <v>1.2230426539304888</v>
      </c>
      <c r="P33" s="146">
        <v>0.8125</v>
      </c>
      <c r="Q33" s="184"/>
      <c r="R33" s="338"/>
      <c r="S33" s="330">
        <v>6.571428571428571</v>
      </c>
      <c r="T33" s="57">
        <v>0.7559289460184544</v>
      </c>
      <c r="U33" s="57">
        <v>0.5714285714285712</v>
      </c>
      <c r="V33" s="184"/>
      <c r="W33" s="338"/>
      <c r="X33" s="330">
        <v>7.638888888888889</v>
      </c>
      <c r="Y33" s="93">
        <v>0.9971364228387377</v>
      </c>
      <c r="Z33" s="57">
        <v>-1.3611111111111107</v>
      </c>
      <c r="AA33" s="184"/>
      <c r="AB33" s="338"/>
      <c r="AC33" s="55">
        <v>7.0</v>
      </c>
      <c r="AD33" s="236">
        <v>1.0540925533894598</v>
      </c>
      <c r="AE33" s="528">
        <v>0.0</v>
      </c>
      <c r="AF33" s="184"/>
      <c r="AG33" s="338"/>
      <c r="AH33" s="55">
        <v>7.544117647058823</v>
      </c>
      <c r="AI33" s="57">
        <v>1.4093307756854379</v>
      </c>
      <c r="AJ33" s="57">
        <v>-1.4558823529411766</v>
      </c>
      <c r="AK33" s="184"/>
      <c r="AL33" s="338"/>
      <c r="AM33" s="55">
        <v>7.211538461538462</v>
      </c>
      <c r="AN33" s="63">
        <v>1.0198353311020865</v>
      </c>
      <c r="AO33" s="57">
        <v>0.21153846153846168</v>
      </c>
      <c r="AP33" s="184"/>
      <c r="AQ33" s="338"/>
      <c r="AR33" s="55">
        <v>6.538461538461538</v>
      </c>
      <c r="AS33" s="63">
        <v>0.7762500258061849</v>
      </c>
      <c r="AT33" s="146">
        <v>-0.4615384615384617</v>
      </c>
      <c r="AU33" s="184"/>
      <c r="AV33" s="338"/>
      <c r="AW33" s="55">
        <v>7.785714285714286</v>
      </c>
      <c r="AX33" s="63">
        <v>0.801783725737273</v>
      </c>
      <c r="AY33" s="146">
        <v>0.7857142857142856</v>
      </c>
      <c r="AZ33" s="527"/>
      <c r="BA33" s="61"/>
      <c r="BB33" s="55">
        <v>8.42</v>
      </c>
      <c r="BC33" s="529">
        <v>1.08</v>
      </c>
      <c r="BD33" s="57">
        <v>0.42</v>
      </c>
      <c r="BE33" s="336"/>
      <c r="BF33" s="61"/>
      <c r="BG33" s="55">
        <v>7.75</v>
      </c>
      <c r="BH33" s="345">
        <v>0.9653072991634231</v>
      </c>
      <c r="BI33" s="146">
        <v>-0.25</v>
      </c>
      <c r="BJ33" s="336"/>
      <c r="BK33" s="336"/>
    </row>
    <row r="34" ht="52.5" customHeight="1">
      <c r="A34" s="180"/>
      <c r="B34" s="61"/>
      <c r="C34" s="140" t="s">
        <v>65</v>
      </c>
      <c r="D34" s="164"/>
      <c r="E34" s="61"/>
      <c r="F34" s="326">
        <f t="shared" si="1"/>
        <v>6.985951221</v>
      </c>
      <c r="G34" s="169"/>
      <c r="H34" s="61"/>
      <c r="I34" s="55">
        <v>7.269230769230769</v>
      </c>
      <c r="J34" s="63">
        <v>1.0127393670836666</v>
      </c>
      <c r="K34" s="215">
        <v>-0.7307692307692308</v>
      </c>
      <c r="L34" s="184"/>
      <c r="M34" s="338"/>
      <c r="N34" s="326">
        <v>5.875</v>
      </c>
      <c r="O34" s="530">
        <v>1.0878112581387147</v>
      </c>
      <c r="P34" s="531">
        <v>-0.125</v>
      </c>
      <c r="Q34" s="184"/>
      <c r="R34" s="338"/>
      <c r="S34" s="326">
        <v>6.357142857142857</v>
      </c>
      <c r="T34" s="532">
        <v>0.8418973861410953</v>
      </c>
      <c r="U34" s="533">
        <v>-0.6428571428571432</v>
      </c>
      <c r="V34" s="184"/>
      <c r="W34" s="338"/>
      <c r="X34" s="326">
        <v>7.861111111111111</v>
      </c>
      <c r="Y34" s="426">
        <v>1.026208836038454</v>
      </c>
      <c r="Z34" s="534">
        <v>0.3611111111111107</v>
      </c>
      <c r="AA34" s="184"/>
      <c r="AB34" s="338"/>
      <c r="AC34" s="326">
        <v>7.421052631578948</v>
      </c>
      <c r="AD34" s="530">
        <v>1.0036483156566685</v>
      </c>
      <c r="AE34" s="534">
        <v>1.4210526315789478</v>
      </c>
      <c r="AF34" s="184"/>
      <c r="AG34" s="338"/>
      <c r="AH34" s="326">
        <v>7.911764705882353</v>
      </c>
      <c r="AI34" s="535">
        <v>1.3945798439589145</v>
      </c>
      <c r="AJ34" s="534">
        <v>-0.08823529411764675</v>
      </c>
      <c r="AK34" s="184"/>
      <c r="AL34" s="338"/>
      <c r="AM34" s="55">
        <v>7.1923076923076925</v>
      </c>
      <c r="AN34" s="63">
        <v>0.8548504142651103</v>
      </c>
      <c r="AO34" s="536">
        <v>-0.8076923076923075</v>
      </c>
      <c r="AP34" s="184"/>
      <c r="AQ34" s="338"/>
      <c r="AR34" s="55">
        <v>6.0</v>
      </c>
      <c r="AS34" s="63">
        <v>0.816496580927726</v>
      </c>
      <c r="AT34" s="146">
        <v>-2.0</v>
      </c>
      <c r="AU34" s="184"/>
      <c r="AV34" s="338"/>
      <c r="AW34" s="55">
        <v>6.642857142857143</v>
      </c>
      <c r="AX34" s="134">
        <v>0.8418973861410957</v>
      </c>
      <c r="AY34" s="185">
        <v>1.6428571428571432</v>
      </c>
      <c r="AZ34" s="527"/>
      <c r="BA34" s="61"/>
      <c r="BB34" s="55">
        <v>7.31</v>
      </c>
      <c r="BC34" s="183">
        <v>0.75</v>
      </c>
      <c r="BD34" s="57">
        <v>-0.69</v>
      </c>
      <c r="BE34" s="336"/>
      <c r="BF34" s="61"/>
      <c r="BG34" s="55">
        <v>8.363636363636363</v>
      </c>
      <c r="BH34" s="470">
        <v>0.9244162777371755</v>
      </c>
      <c r="BI34" s="354">
        <v>-0.6363636363636367</v>
      </c>
      <c r="BJ34" s="336"/>
      <c r="BK34" s="336"/>
    </row>
    <row r="35" ht="52.5" customHeight="1">
      <c r="A35" s="180"/>
      <c r="B35" s="61"/>
      <c r="C35" s="140" t="s">
        <v>66</v>
      </c>
      <c r="D35" s="164"/>
      <c r="E35" s="61"/>
      <c r="F35" s="326">
        <f t="shared" si="1"/>
        <v>7.549309176</v>
      </c>
      <c r="G35" s="286"/>
      <c r="H35" s="61"/>
      <c r="I35" s="55">
        <v>7.538461538461538</v>
      </c>
      <c r="J35" s="63">
        <v>0.9674179220468453</v>
      </c>
      <c r="K35" s="57">
        <v>-0.4615384615384617</v>
      </c>
      <c r="L35" s="184"/>
      <c r="M35" s="338"/>
      <c r="N35" s="326">
        <v>7.8125</v>
      </c>
      <c r="O35" s="537">
        <v>1.2763881332363862</v>
      </c>
      <c r="P35" s="538">
        <v>1.8125</v>
      </c>
      <c r="Q35" s="184"/>
      <c r="R35" s="338"/>
      <c r="S35" s="326">
        <v>7.571428571428571</v>
      </c>
      <c r="T35" s="539">
        <v>1.0894095588038444</v>
      </c>
      <c r="U35" s="534">
        <v>-0.4285714285714288</v>
      </c>
      <c r="V35" s="184"/>
      <c r="W35" s="338"/>
      <c r="X35" s="326">
        <v>8.055555555555555</v>
      </c>
      <c r="Y35" s="540">
        <v>1.1617543641469048</v>
      </c>
      <c r="Z35" s="541">
        <v>-0.9444444444444446</v>
      </c>
      <c r="AA35" s="184"/>
      <c r="AB35" s="338"/>
      <c r="AC35" s="326">
        <v>7.421052631578948</v>
      </c>
      <c r="AD35" s="530">
        <v>1.346426937147361</v>
      </c>
      <c r="AE35" s="534">
        <v>1.4210526315789478</v>
      </c>
      <c r="AF35" s="184"/>
      <c r="AG35" s="338"/>
      <c r="AH35" s="326">
        <v>7.764705882352941</v>
      </c>
      <c r="AI35" s="542">
        <v>1.56242646885805</v>
      </c>
      <c r="AJ35" s="534">
        <v>-0.23529411764705888</v>
      </c>
      <c r="AK35" s="184"/>
      <c r="AL35" s="338"/>
      <c r="AM35" s="326">
        <v>6.923076923076923</v>
      </c>
      <c r="AN35" s="543">
        <v>1.1151635501529558</v>
      </c>
      <c r="AO35" s="544">
        <v>-0.07692307692307665</v>
      </c>
      <c r="AP35" s="184"/>
      <c r="AQ35" s="338"/>
      <c r="AR35" s="326">
        <v>7.3076923076923075</v>
      </c>
      <c r="AS35" s="543">
        <v>0.9473309334313419</v>
      </c>
      <c r="AT35" s="545">
        <v>-0.6923076923076925</v>
      </c>
      <c r="AU35" s="184"/>
      <c r="AV35" s="338"/>
      <c r="AW35" s="326">
        <v>8.5</v>
      </c>
      <c r="AX35" s="546">
        <v>0.8548504142651102</v>
      </c>
      <c r="AY35" s="534">
        <v>0.5</v>
      </c>
      <c r="AZ35" s="527"/>
      <c r="BA35" s="61"/>
      <c r="BB35" s="55">
        <v>8.14</v>
      </c>
      <c r="BC35" s="237">
        <v>1.1</v>
      </c>
      <c r="BD35" s="57">
        <v>0.14</v>
      </c>
      <c r="BE35" s="336"/>
      <c r="BF35" s="61"/>
      <c r="BG35" s="55">
        <v>8.25</v>
      </c>
      <c r="BH35" s="57">
        <v>0.8660254037844387</v>
      </c>
      <c r="BI35" s="57">
        <v>1.25</v>
      </c>
      <c r="BJ35" s="336"/>
      <c r="BK35" s="336"/>
    </row>
    <row r="36" ht="52.5" customHeight="1">
      <c r="A36" s="180"/>
      <c r="B36" s="69"/>
      <c r="C36" s="140" t="s">
        <v>67</v>
      </c>
      <c r="D36" s="164"/>
      <c r="E36" s="69"/>
      <c r="F36" s="326">
        <f t="shared" si="1"/>
        <v>6.532290143</v>
      </c>
      <c r="G36" s="286"/>
      <c r="H36" s="69"/>
      <c r="I36" s="55">
        <v>7.0</v>
      </c>
      <c r="J36" s="63">
        <v>1.1547005383792515</v>
      </c>
      <c r="K36" s="57">
        <v>0.0</v>
      </c>
      <c r="L36" s="184"/>
      <c r="M36" s="547"/>
      <c r="N36" s="326">
        <v>7.0</v>
      </c>
      <c r="O36" s="543">
        <v>1.3662601021279464</v>
      </c>
      <c r="P36" s="548">
        <v>1.0</v>
      </c>
      <c r="Q36" s="184"/>
      <c r="R36" s="547"/>
      <c r="S36" s="326">
        <v>6.642857142857143</v>
      </c>
      <c r="T36" s="549">
        <v>0.928782731664065</v>
      </c>
      <c r="U36" s="534">
        <v>-0.35714285714285676</v>
      </c>
      <c r="V36" s="184"/>
      <c r="W36" s="547"/>
      <c r="X36" s="326">
        <v>6.666666666666667</v>
      </c>
      <c r="Y36" s="530">
        <v>1.084652289093281</v>
      </c>
      <c r="Z36" s="534">
        <v>0.666666666666667</v>
      </c>
      <c r="AA36" s="184"/>
      <c r="AB36" s="547"/>
      <c r="AC36" s="326">
        <v>6.473684210526316</v>
      </c>
      <c r="AD36" s="550">
        <v>0.9785715810206663</v>
      </c>
      <c r="AE36" s="551">
        <v>0.47368421052631593</v>
      </c>
      <c r="AF36" s="184"/>
      <c r="AG36" s="547"/>
      <c r="AH36" s="326">
        <v>6.205882352941177</v>
      </c>
      <c r="AI36" s="552">
        <v>0.8112263773411942</v>
      </c>
      <c r="AJ36" s="553">
        <v>0.20588235294117663</v>
      </c>
      <c r="AK36" s="184"/>
      <c r="AL36" s="547"/>
      <c r="AM36" s="326">
        <v>6.038461538461538</v>
      </c>
      <c r="AN36" s="543">
        <v>1.0500305245868344</v>
      </c>
      <c r="AO36" s="534">
        <v>0.038461538461538325</v>
      </c>
      <c r="AP36" s="184"/>
      <c r="AQ36" s="547"/>
      <c r="AR36" s="326">
        <v>6.230769230769231</v>
      </c>
      <c r="AS36" s="543">
        <v>1.0919284281983375</v>
      </c>
      <c r="AT36" s="554">
        <v>-2.769230769230769</v>
      </c>
      <c r="AU36" s="184"/>
      <c r="AV36" s="547"/>
      <c r="AW36" s="326">
        <v>8.0</v>
      </c>
      <c r="AX36" s="549">
        <v>0.9607689228305225</v>
      </c>
      <c r="AY36" s="554">
        <v>2.0</v>
      </c>
      <c r="AZ36" s="527"/>
      <c r="BA36" s="69"/>
      <c r="BB36" s="55">
        <v>7.38</v>
      </c>
      <c r="BC36" s="63">
        <v>1.39</v>
      </c>
      <c r="BD36" s="57">
        <v>0.38</v>
      </c>
      <c r="BE36" s="336"/>
      <c r="BF36" s="69"/>
      <c r="BG36" s="55">
        <v>8.0</v>
      </c>
      <c r="BH36" s="60">
        <v>0.7385489458759963</v>
      </c>
      <c r="BI36" s="57">
        <v>1.0</v>
      </c>
      <c r="BJ36" s="336"/>
      <c r="BK36" s="336"/>
    </row>
    <row r="37" ht="26.25" customHeight="1">
      <c r="A37" s="298"/>
      <c r="B37" s="289"/>
      <c r="C37" s="169"/>
      <c r="D37" s="164"/>
      <c r="E37" s="290" t="s">
        <v>68</v>
      </c>
      <c r="F37" s="291">
        <f>AVERAGE(F4:F36)</f>
        <v>6.820002927</v>
      </c>
      <c r="G37" s="286"/>
      <c r="H37" s="292" t="s">
        <v>68</v>
      </c>
      <c r="I37" s="291">
        <f>AVERAGE(I4:I36)</f>
        <v>7.054034854</v>
      </c>
      <c r="J37" s="555" t="s">
        <v>69</v>
      </c>
      <c r="K37" s="207">
        <f>(abs(K4)+abs(K5)+abs(K6)+abs(K7)+abs(K8)+abs(K9)+abs(K10)+abs(K11)+abs(K12)+abs(K13)+abs(K14)+ abs(K15)+abs(K16)+abs(K17)+ abs(K18)+abs(K19)+abs(K20)+abs(K21)+abs(K22)+abs(K23)+abs(K24)+abs(K25)+abs(K26)+abs(K28)+abs(K29)+abs(K30)+abs(K31)+abs(K32)+abs(K33)+abs(K34)+abs(K35)+abs(K36))/COUNTA(K4:K36)</f>
        <v>0.5240728022</v>
      </c>
      <c r="L37" s="295"/>
      <c r="M37" s="296" t="s">
        <v>68</v>
      </c>
      <c r="N37" s="291">
        <f>AVERAGE(N4:N36)</f>
        <v>6.227462121</v>
      </c>
      <c r="O37" s="293" t="s">
        <v>69</v>
      </c>
      <c r="P37" s="556">
        <f>(abs(P4)+abs(P5)+abs(P6)+abs(P7)+abs(P8)+abs(P9)+abs(P10)+abs(P11)+abs(P12)+abs(P13)+abs(P14)+abs(P15)+abs(P16)+abs(P17)+abs(P18)+abs(P19)+abs(P20)+abs(P21)+abs(P22)+abs(P23)+abs(P24)+abs(P25)+abs(P26)+abs(P27)+abs(P28)+abs(P29)+abs(P30)+abs(P31)+abs(P32)+abs(P33)+abs(P34)+abs(P35)+abs(P36))/COUNTA(P4:P36)</f>
        <v>0.834280303</v>
      </c>
      <c r="Q37" s="295"/>
      <c r="R37" s="296" t="s">
        <v>68</v>
      </c>
      <c r="S37" s="291">
        <f>AVERAGE(S4:S36)</f>
        <v>6.751731602</v>
      </c>
      <c r="T37" s="293" t="s">
        <v>69</v>
      </c>
      <c r="U37" s="207">
        <f>(abs(U4)+abs(U5)+abs(U6)+abs(U7)+abs(U8)+abs(U9)+abs(U10)+abs(U11)+abs(U12)+abs(U13)+abs(U14)+abs(U15)+abs(U16)+abs(U17)+abs(U18)+abs(U19)+abs(U20)+abs(U21)+abs(U22)+abs(U23)+abs(U24)+abs(U25)+abs(U26)+abs(U27)+abs(U28)+abs(U29)+abs(U30)+abs(U31)+abs(U32)+abs(U33)+abs(U34)+abs(U35)+abs(U36))/COUNTA(U4:U36)</f>
        <v>0.6391774892</v>
      </c>
      <c r="V37" s="295"/>
      <c r="W37" s="296" t="s">
        <v>68</v>
      </c>
      <c r="X37" s="291">
        <f>AVERAGE(X4:X36)</f>
        <v>7.293518519</v>
      </c>
      <c r="Y37" s="293" t="s">
        <v>69</v>
      </c>
      <c r="Z37" s="207">
        <f>(abs(Z4)+abs(Z5)+abs(Z6)+abs(Z7)+abs(Z8)+abs(Z9)+abs(Z10)+abs(Z11)+abs(Z12)+abs(Z13)+abs(Z14)+abs(Z15)+abs(Z16)+abs(Z17)+abs(Z18)+abs(Z19)+abs(Z20)+abs(Z21)+abs(Z22)+abs(Z23)+abs(Z24)+abs(Z25)+abs(Z26)+abs(Z27)+abs(Z28)+abs(Z29)+abs(Z30)+abs(Z31)+abs(Z32)+abs(Z33)+abs(Z34)+abs(Z35)+abs(Z36))/COUNTA(Z4:Z36)</f>
        <v>0.8132154882</v>
      </c>
      <c r="AA37" s="295"/>
      <c r="AB37" s="296" t="s">
        <v>68</v>
      </c>
      <c r="AC37" s="291">
        <f>AVERAGE(AC4:AC36)</f>
        <v>7.176475279</v>
      </c>
      <c r="AD37" s="293" t="s">
        <v>69</v>
      </c>
      <c r="AE37" s="207">
        <f>(abs(AE4)+abs(AE5)+abs(AE6)+abs(AE7)+abs(AE8)+abs(AE9)+abs(AE10)+abs(AE11)+abs(AE12)+abs(AE13)+abs(AE14)+abs(AE15)+abs(AE16)+abs(AE17)+abs(AE18)+abs(AE19)+abs(AE20)+abs(AE21)+abs(AE22)+abs(AE23)+abs(AE24)+abs(AE25)+abs(AE26)+abs(AE27)+abs(AE28)+abs(AE29)+abs(AE30)+abs(AE31)+abs(AE32)+abs(AE33)+abs(AE34)+abs(AE35)+abs(AE36))/COUNTA(AE4:AE36)</f>
        <v>1.055263158</v>
      </c>
      <c r="AF37" s="295"/>
      <c r="AG37" s="296" t="s">
        <v>68</v>
      </c>
      <c r="AH37" s="291">
        <f>AVERAGE(AH4:AH36)</f>
        <v>6.818805704</v>
      </c>
      <c r="AI37" s="293" t="s">
        <v>69</v>
      </c>
      <c r="AJ37" s="207">
        <f>(abs(AJ4)+abs(AJ5)+abs(AJ6)+abs(AJ7)+abs(AJ8)+abs(AJ9)+abs(AJ10)+abs(AJ11)+abs(AJ12)+abs(AJ13)+abs(AJ14)+abs(AJ15)+abs(AJ16)+abs(AJ17)+abs(AJ18)+abs(AJ19)+abs(AJ20)+abs(AJ21)+abs(AJ22)+abs(AJ23)+abs(AJ24)+abs(AJ25)+abs(AJ26)+abs(AJ27)+abs(AJ28)+abs(AJ29)+abs(AJ30)+abs(AJ31)+abs(AJ32)+abs(AJ33)+abs(AJ34)+abs(AJ35)+abs(AJ36))/COUNTA(AJ4:AJ36)</f>
        <v>0.8434046346</v>
      </c>
      <c r="AK37" s="295"/>
      <c r="AL37" s="296" t="s">
        <v>68</v>
      </c>
      <c r="AM37" s="291">
        <f>AVERAGE(AM4:AM36)</f>
        <v>6.920979021</v>
      </c>
      <c r="AN37" s="293" t="s">
        <v>69</v>
      </c>
      <c r="AO37" s="207">
        <f>(abs(AO4)+abs(AO5)+abs(AO6)+abs(AO7)+abs(AO8)+abs(AO9)+abs(AO10)+abs(AO11)+abs(AO12)+abs(AO13)++abs(AO14)+abs(AO15)+abs(AO16)+abs(AO17)+abs(AO18)+abs(AO19)+abs(AO20)+abs(AO21)+abs(AO22)+abs(AO23)+abs(AO24)+abs(AO25)++abs(AO26)+abs(AO27)+abs(AO28)+abs(AO29)+abs(AO30)+abs(AO31)+abs(AO32)+abs(AO33)+abs(AO34)+abs(AO35)+abs(AO36))/COUNTA(AO4:AO36)</f>
        <v>0.4671328671</v>
      </c>
      <c r="AP37" s="557"/>
      <c r="AQ37" s="296" t="s">
        <v>68</v>
      </c>
      <c r="AR37" s="291">
        <f>AVERAGE(AR4:AR36)</f>
        <v>6.317016317</v>
      </c>
      <c r="AS37" s="293" t="s">
        <v>69</v>
      </c>
      <c r="AT37" s="558">
        <f>(abs(AT4)+abs(AT5)+abs(AT6)+abs(AT7)+abs(AT8)+abs(AT9)+abs(AT10)+abs(AT11)+abs(AT12)+abs(AT13)+abs(AT14)+abs(AT15)+abs(AT16)+abs(AT17)+abs(AT18)+abs(AT19)+abs(AT20)+abs(AT21)+abs(AT22)+abs(AT23)+abs(AT24)+abs(AT25)+abs(AT26)+abs(AT27)+abs(AT28)+abs(AT29)+abs(AT30)+abs(AT31)+abs(AT32)+abs(AT33)+abs(AT34)+abs(AT35)+abs(AT36))/COUNTA(AT4:AT36)</f>
        <v>0.9463869464</v>
      </c>
      <c r="AU37" s="557"/>
      <c r="AV37" s="296" t="s">
        <v>68</v>
      </c>
      <c r="AW37" s="291">
        <f>AVERAGE(AW4:AW36)</f>
        <v>7.523609203</v>
      </c>
      <c r="AX37" s="293" t="s">
        <v>69</v>
      </c>
      <c r="AY37" s="559" t="str">
        <f>(abs(AY4)+abs(AY5)+abs(AY6)+abs(AY7)+abs(AY8)+abs(AY9)+abs(AY10)+abs(AY11)+abs(#REF!)+abs(AY12)+abs(AY13)+abs(AY15)+abs(AY16)+abs(AY18)+abs(AY19)+abs(AY20)+abs(AY21)+abs(AY22)+abs(AY23)+abs(AY24)+abs(AY25)+abs(AY26)+abs(#REF!)+abs(AY28)+abs(AY29)+abs(AY30)+abs(AY31)+abs(AY32)+abs(AY33)+abs(AY34)+abs(AY35))/COUNTA(AY4:AY35)</f>
        <v>#REF!</v>
      </c>
      <c r="AZ37" s="169"/>
      <c r="BA37" s="292" t="s">
        <v>68</v>
      </c>
      <c r="BB37" s="291">
        <f>AVERAGE(BB4:BB36)</f>
        <v>7.8184375</v>
      </c>
      <c r="BC37" s="293" t="s">
        <v>69</v>
      </c>
      <c r="BD37" s="207" t="str">
        <f>(ABS(BD4)+ABS(BD5)+ABS(BD6)+ABS(BD7)+ABS(BD8)+ABS(BD9)+ABS(BD10)+ABS(BD11)+ABS(#REF!)+ABS(BD12)+ABS(BD13)+ABS(BD15)+ABS(BD16)+ABS(BD18)+ABS(BD19)+ABS(BD20)+ABS(BD21)+ABS(BD22)+ABS(BD23)+ABS(BD24)+ABS(BD25)+ABS(BD26)+ABS(#REF!)+ABS(BD28)+ABS(BD29)+ABS(BD30)+ABS(BD31)+ABS(BD32)+ABS(BD33)+ABS(BD34)+ABS(BD35))/COUNTA(BD4:BD35)</f>
        <v>#REF!</v>
      </c>
      <c r="BE37" s="560"/>
      <c r="BF37" s="292" t="s">
        <v>68</v>
      </c>
      <c r="BG37" s="291">
        <f>AVERAGE(BG4:BG36)</f>
        <v>8.024668561</v>
      </c>
      <c r="BH37" s="293" t="s">
        <v>69</v>
      </c>
      <c r="BI37" s="561" t="str">
        <f>(ABS(BI4)+ABS(BI5)+ABS(BI6)+ABS(BI7)+ABS(BI8)+ABS(BI9)+ABS(BI10)+ABS(BI11)+ABS(#REF!)+ABS(BI12)+ABS(BI13)+ABS(BI15)+ABS(BI16)+ABS(BI18)+ABS(BI19)+ABS(BI20)+ABS(BI21)+ABS(BI22)+ABS(BI23)+ABS(BI24)+ABS(BI25)+ABS(BI26)+ABS(#REF!)+ABS(BI28)+ABS(BI29)+ABS(BI30)+ABS(BI31)+ABS(BI32)+ABS(BI33)+ABS(BI34)+ABS(BI35))/COUNTA(BI4:BI35)</f>
        <v>#REF!</v>
      </c>
      <c r="BJ37" s="560"/>
      <c r="BK37" s="560"/>
    </row>
    <row r="38" ht="26.25" customHeight="1">
      <c r="A38" s="298"/>
      <c r="B38" s="289"/>
      <c r="C38" s="169"/>
      <c r="D38" s="164"/>
      <c r="E38" s="69"/>
      <c r="F38" s="69"/>
      <c r="G38" s="286"/>
      <c r="H38" s="69"/>
      <c r="I38" s="69"/>
      <c r="J38" s="69"/>
      <c r="K38" s="69"/>
      <c r="L38" s="295"/>
      <c r="M38" s="69"/>
      <c r="N38" s="69"/>
      <c r="O38" s="69"/>
      <c r="P38" s="69"/>
      <c r="Q38" s="295"/>
      <c r="R38" s="69"/>
      <c r="S38" s="69"/>
      <c r="T38" s="69"/>
      <c r="U38" s="69"/>
      <c r="V38" s="295"/>
      <c r="W38" s="69"/>
      <c r="X38" s="69"/>
      <c r="Y38" s="69"/>
      <c r="Z38" s="69"/>
      <c r="AA38" s="295"/>
      <c r="AB38" s="69"/>
      <c r="AC38" s="69"/>
      <c r="AD38" s="69"/>
      <c r="AE38" s="69"/>
      <c r="AF38" s="295"/>
      <c r="AG38" s="69"/>
      <c r="AH38" s="69"/>
      <c r="AI38" s="69"/>
      <c r="AJ38" s="69"/>
      <c r="AK38" s="295"/>
      <c r="AL38" s="69"/>
      <c r="AM38" s="69"/>
      <c r="AN38" s="69"/>
      <c r="AO38" s="69"/>
      <c r="AP38" s="557"/>
      <c r="AQ38" s="69"/>
      <c r="AR38" s="69"/>
      <c r="AS38" s="69"/>
      <c r="AT38" s="69"/>
      <c r="AU38" s="557"/>
      <c r="AV38" s="69"/>
      <c r="AW38" s="69"/>
      <c r="AX38" s="69"/>
      <c r="AY38" s="69"/>
      <c r="AZ38" s="169"/>
      <c r="BA38" s="69"/>
      <c r="BB38" s="69"/>
      <c r="BC38" s="69"/>
      <c r="BD38" s="69"/>
      <c r="BE38" s="560"/>
      <c r="BF38" s="69"/>
      <c r="BG38" s="69"/>
      <c r="BH38" s="69"/>
      <c r="BI38" s="69"/>
      <c r="BJ38" s="560"/>
      <c r="BK38" s="560"/>
    </row>
    <row r="39" ht="30.0" customHeight="1">
      <c r="A39" s="298"/>
      <c r="B39" s="289"/>
      <c r="C39" s="169"/>
      <c r="D39" s="298"/>
      <c r="E39" s="298"/>
      <c r="F39" s="298"/>
      <c r="G39" s="169"/>
      <c r="H39" s="299"/>
      <c r="I39" s="299"/>
      <c r="J39" s="562"/>
      <c r="K39" s="299"/>
      <c r="L39" s="295"/>
      <c r="M39" s="299"/>
      <c r="N39" s="299"/>
      <c r="O39" s="299"/>
      <c r="P39" s="299"/>
      <c r="Q39" s="295"/>
      <c r="R39" s="299"/>
      <c r="S39" s="299"/>
      <c r="T39" s="299"/>
      <c r="U39" s="299"/>
      <c r="V39" s="295"/>
      <c r="W39" s="299"/>
      <c r="X39" s="299"/>
      <c r="Y39" s="299"/>
      <c r="Z39" s="299"/>
      <c r="AA39" s="295"/>
      <c r="AB39" s="299"/>
      <c r="AC39" s="299"/>
      <c r="AD39" s="299"/>
      <c r="AE39" s="299"/>
      <c r="AF39" s="295"/>
      <c r="AG39" s="299"/>
      <c r="AH39" s="299"/>
      <c r="AI39" s="299"/>
      <c r="AJ39" s="299"/>
      <c r="AK39" s="295"/>
      <c r="AL39" s="299"/>
      <c r="AM39" s="299"/>
      <c r="AN39" s="299"/>
      <c r="AO39" s="299"/>
      <c r="AP39" s="295"/>
      <c r="AQ39" s="299"/>
      <c r="AR39" s="299"/>
      <c r="AS39" s="299"/>
      <c r="AT39" s="299"/>
      <c r="AU39" s="295"/>
      <c r="AV39" s="299"/>
      <c r="AW39" s="299"/>
      <c r="AX39" s="299"/>
      <c r="AY39" s="299"/>
      <c r="AZ39" s="298"/>
      <c r="BA39" s="299"/>
      <c r="BB39" s="563"/>
      <c r="BC39" s="299"/>
      <c r="BD39" s="299"/>
      <c r="BE39" s="295"/>
      <c r="BF39" s="299"/>
      <c r="BG39" s="563"/>
      <c r="BH39" s="299"/>
      <c r="BI39" s="299"/>
      <c r="BJ39" s="295"/>
      <c r="BK39" s="295"/>
    </row>
    <row r="40">
      <c r="A40" s="180"/>
      <c r="B40" s="289"/>
      <c r="C40" s="300" t="s">
        <v>70</v>
      </c>
      <c r="D40" s="169"/>
      <c r="E40" s="298"/>
      <c r="F40" s="298"/>
      <c r="G40" s="169"/>
      <c r="H40" s="301" t="s">
        <v>103</v>
      </c>
      <c r="I40" s="160"/>
      <c r="J40" s="160"/>
      <c r="K40" s="161"/>
      <c r="L40" s="564"/>
      <c r="M40" s="301" t="s">
        <v>104</v>
      </c>
      <c r="N40" s="160"/>
      <c r="O40" s="160"/>
      <c r="P40" s="161"/>
      <c r="Q40" s="564"/>
      <c r="R40" s="301" t="s">
        <v>105</v>
      </c>
      <c r="S40" s="160"/>
      <c r="T40" s="160"/>
      <c r="U40" s="161"/>
      <c r="V40" s="564"/>
      <c r="W40" s="301" t="s">
        <v>106</v>
      </c>
      <c r="X40" s="160"/>
      <c r="Y40" s="160"/>
      <c r="Z40" s="161"/>
      <c r="AA40" s="564"/>
      <c r="AB40" s="301" t="s">
        <v>107</v>
      </c>
      <c r="AC40" s="160"/>
      <c r="AD40" s="160"/>
      <c r="AE40" s="161"/>
      <c r="AF40" s="564"/>
      <c r="AG40" s="301" t="s">
        <v>108</v>
      </c>
      <c r="AH40" s="160"/>
      <c r="AI40" s="160"/>
      <c r="AJ40" s="161"/>
      <c r="AK40" s="564"/>
      <c r="AL40" s="301" t="s">
        <v>109</v>
      </c>
      <c r="AM40" s="160"/>
      <c r="AN40" s="160"/>
      <c r="AO40" s="161"/>
      <c r="AP40" s="564"/>
      <c r="AQ40" s="301" t="s">
        <v>110</v>
      </c>
      <c r="AR40" s="160"/>
      <c r="AS40" s="160"/>
      <c r="AT40" s="161"/>
      <c r="AU40" s="565"/>
      <c r="AV40" s="301" t="s">
        <v>111</v>
      </c>
      <c r="AW40" s="160"/>
      <c r="AX40" s="160"/>
      <c r="AY40" s="161"/>
      <c r="AZ40" s="169"/>
      <c r="BA40" s="301" t="s">
        <v>112</v>
      </c>
      <c r="BB40" s="160"/>
      <c r="BC40" s="160"/>
      <c r="BD40" s="161"/>
      <c r="BE40" s="566"/>
      <c r="BF40" s="301" t="s">
        <v>113</v>
      </c>
      <c r="BG40" s="160"/>
      <c r="BH40" s="160"/>
      <c r="BI40" s="161"/>
      <c r="BJ40" s="566"/>
      <c r="BK40" s="566"/>
    </row>
    <row r="41">
      <c r="A41" s="180"/>
      <c r="B41" s="289"/>
      <c r="C41" s="567" t="s">
        <v>73</v>
      </c>
      <c r="D41" s="172"/>
      <c r="E41" s="298"/>
      <c r="F41" s="298"/>
      <c r="G41" s="169"/>
      <c r="H41" s="306" t="s">
        <v>114</v>
      </c>
      <c r="I41" s="307"/>
      <c r="J41" s="307"/>
      <c r="K41" s="308"/>
      <c r="L41" s="564"/>
      <c r="M41" s="301" t="s">
        <v>115</v>
      </c>
      <c r="N41" s="160"/>
      <c r="O41" s="160"/>
      <c r="P41" s="161"/>
      <c r="Q41" s="564"/>
      <c r="R41" s="301" t="s">
        <v>116</v>
      </c>
      <c r="S41" s="160"/>
      <c r="T41" s="160"/>
      <c r="U41" s="161"/>
      <c r="V41" s="564"/>
      <c r="W41" s="301" t="s">
        <v>117</v>
      </c>
      <c r="X41" s="160"/>
      <c r="Y41" s="160"/>
      <c r="Z41" s="161"/>
      <c r="AA41" s="564"/>
      <c r="AB41" s="301" t="s">
        <v>118</v>
      </c>
      <c r="AC41" s="160"/>
      <c r="AD41" s="160"/>
      <c r="AE41" s="161"/>
      <c r="AF41" s="564"/>
      <c r="AG41" s="301" t="s">
        <v>119</v>
      </c>
      <c r="AH41" s="160"/>
      <c r="AI41" s="160"/>
      <c r="AJ41" s="161"/>
      <c r="AK41" s="564"/>
      <c r="AL41" s="301" t="s">
        <v>120</v>
      </c>
      <c r="AM41" s="160"/>
      <c r="AN41" s="160"/>
      <c r="AO41" s="161"/>
      <c r="AP41" s="564"/>
      <c r="AQ41" s="301" t="s">
        <v>121</v>
      </c>
      <c r="AR41" s="160"/>
      <c r="AS41" s="160"/>
      <c r="AT41" s="161"/>
      <c r="AU41" s="565"/>
      <c r="AV41" s="301" t="s">
        <v>122</v>
      </c>
      <c r="AW41" s="160"/>
      <c r="AX41" s="160"/>
      <c r="AY41" s="161"/>
      <c r="AZ41" s="169"/>
      <c r="BA41" s="301" t="s">
        <v>123</v>
      </c>
      <c r="BB41" s="160"/>
      <c r="BC41" s="160"/>
      <c r="BD41" s="161"/>
      <c r="BE41" s="566"/>
      <c r="BF41" s="301" t="s">
        <v>124</v>
      </c>
      <c r="BG41" s="160"/>
      <c r="BH41" s="160"/>
      <c r="BI41" s="161"/>
      <c r="BJ41" s="566"/>
      <c r="BK41" s="566"/>
    </row>
    <row r="42" ht="22.5" customHeight="1">
      <c r="A42" s="180"/>
      <c r="B42" s="289"/>
      <c r="C42" s="169"/>
      <c r="D42" s="169"/>
      <c r="E42" s="298"/>
      <c r="F42" s="298"/>
      <c r="G42" s="169"/>
      <c r="H42" s="568"/>
      <c r="I42" s="169"/>
      <c r="J42" s="569"/>
      <c r="K42" s="169"/>
      <c r="L42" s="169"/>
      <c r="M42" s="169"/>
      <c r="N42" s="169"/>
      <c r="O42" s="169"/>
      <c r="P42" s="169"/>
      <c r="Q42" s="169"/>
      <c r="R42" s="169"/>
      <c r="S42" s="169"/>
      <c r="T42" s="169"/>
      <c r="U42" s="169"/>
      <c r="V42" s="169"/>
      <c r="W42" s="169"/>
      <c r="X42" s="169"/>
      <c r="Y42" s="169"/>
      <c r="Z42" s="169"/>
      <c r="AA42" s="169"/>
      <c r="AB42" s="169"/>
      <c r="AC42" s="169"/>
      <c r="AD42" s="169"/>
      <c r="AE42" s="169"/>
      <c r="AF42" s="568"/>
      <c r="AG42" s="568"/>
      <c r="AH42" s="568"/>
      <c r="AI42" s="568"/>
      <c r="AJ42" s="568"/>
      <c r="AK42" s="568"/>
      <c r="AL42" s="568"/>
      <c r="AM42" s="568"/>
      <c r="AN42" s="568"/>
      <c r="AO42" s="568"/>
      <c r="AP42" s="298"/>
      <c r="AQ42" s="568"/>
      <c r="AR42" s="568"/>
      <c r="AS42" s="568"/>
      <c r="AT42" s="568"/>
      <c r="AU42" s="568"/>
      <c r="AV42" s="568"/>
      <c r="AW42" s="568"/>
      <c r="AX42" s="568"/>
      <c r="AY42" s="568"/>
      <c r="AZ42" s="169"/>
      <c r="BA42" s="169"/>
      <c r="BB42" s="570"/>
      <c r="BC42" s="169"/>
      <c r="BD42" s="169"/>
      <c r="BE42" s="169"/>
      <c r="BF42" s="169"/>
      <c r="BG42" s="169"/>
      <c r="BH42" s="169"/>
      <c r="BI42" s="169"/>
      <c r="BJ42" s="169"/>
      <c r="BK42" s="169"/>
    </row>
    <row r="43" ht="22.5" customHeight="1">
      <c r="A43" s="169"/>
      <c r="B43" s="289"/>
      <c r="C43" s="169"/>
      <c r="D43" s="169"/>
      <c r="E43" s="169"/>
      <c r="F43" s="169"/>
      <c r="G43" s="169"/>
      <c r="H43" s="568"/>
      <c r="I43" s="169"/>
      <c r="J43" s="569"/>
      <c r="K43" s="169"/>
      <c r="L43" s="169"/>
      <c r="M43" s="169"/>
      <c r="N43" s="169"/>
      <c r="O43" s="169"/>
      <c r="P43" s="169"/>
      <c r="Q43" s="169"/>
      <c r="R43" s="169"/>
      <c r="S43" s="169"/>
      <c r="T43" s="169"/>
      <c r="U43" s="169"/>
      <c r="V43" s="169"/>
      <c r="W43" s="169"/>
      <c r="X43" s="169"/>
      <c r="Y43" s="169"/>
      <c r="Z43" s="169"/>
      <c r="AA43" s="169"/>
      <c r="AB43" s="169"/>
      <c r="AC43" s="169"/>
      <c r="AD43" s="169"/>
      <c r="AE43" s="169"/>
      <c r="AF43" s="568"/>
      <c r="AG43" s="568"/>
      <c r="AH43" s="568"/>
      <c r="AI43" s="568"/>
      <c r="AJ43" s="568"/>
      <c r="AK43" s="568"/>
      <c r="AL43" s="568"/>
      <c r="AM43" s="568"/>
      <c r="AN43" s="568"/>
      <c r="AO43" s="568"/>
      <c r="AP43" s="298"/>
      <c r="AQ43" s="568"/>
      <c r="AR43" s="568"/>
      <c r="AS43" s="568"/>
      <c r="AT43" s="568"/>
      <c r="AU43" s="568"/>
      <c r="AV43" s="568"/>
      <c r="AW43" s="568"/>
      <c r="AX43" s="568"/>
      <c r="AY43" s="568"/>
      <c r="AZ43" s="169"/>
      <c r="BA43" s="169"/>
      <c r="BB43" s="570"/>
      <c r="BC43" s="169"/>
      <c r="BD43" s="169"/>
      <c r="BE43" s="169"/>
      <c r="BF43" s="169"/>
      <c r="BG43" s="169"/>
      <c r="BH43" s="169"/>
      <c r="BI43" s="169"/>
      <c r="BJ43" s="169"/>
      <c r="BK43" s="169"/>
    </row>
    <row r="44" ht="22.5" customHeight="1">
      <c r="A44" s="169"/>
      <c r="B44" s="289"/>
      <c r="C44" s="169"/>
      <c r="D44" s="169"/>
      <c r="E44" s="169"/>
      <c r="F44" s="169"/>
      <c r="G44" s="169"/>
      <c r="H44" s="568"/>
      <c r="I44" s="169"/>
      <c r="J44" s="569"/>
      <c r="K44" s="169"/>
      <c r="L44" s="169"/>
      <c r="M44" s="169"/>
      <c r="N44" s="169"/>
      <c r="O44" s="169"/>
      <c r="P44" s="169"/>
      <c r="Q44" s="169"/>
      <c r="R44" s="169"/>
      <c r="S44" s="169"/>
      <c r="T44" s="169"/>
      <c r="U44" s="169"/>
      <c r="V44" s="169"/>
      <c r="W44" s="169"/>
      <c r="X44" s="169"/>
      <c r="Y44" s="169"/>
      <c r="Z44" s="169"/>
      <c r="AA44" s="169"/>
      <c r="AB44" s="169"/>
      <c r="AC44" s="169"/>
      <c r="AD44" s="169"/>
      <c r="AE44" s="169"/>
      <c r="AF44" s="568"/>
      <c r="AG44" s="568"/>
      <c r="AH44" s="568"/>
      <c r="AI44" s="568"/>
      <c r="AJ44" s="568"/>
      <c r="AK44" s="568"/>
      <c r="AL44" s="568"/>
      <c r="AM44" s="568"/>
      <c r="AN44" s="568"/>
      <c r="AO44" s="568"/>
      <c r="AP44" s="298"/>
      <c r="AQ44" s="568"/>
      <c r="AR44" s="568"/>
      <c r="AS44" s="568"/>
      <c r="AT44" s="568"/>
      <c r="AU44" s="568"/>
      <c r="AV44" s="568"/>
      <c r="AW44" s="568"/>
      <c r="AX44" s="568"/>
      <c r="AY44" s="568"/>
      <c r="AZ44" s="169"/>
      <c r="BA44" s="169"/>
      <c r="BB44" s="570"/>
      <c r="BC44" s="169"/>
      <c r="BD44" s="169"/>
      <c r="BE44" s="169"/>
      <c r="BF44" s="169"/>
      <c r="BG44" s="169"/>
      <c r="BH44" s="169"/>
      <c r="BI44" s="169"/>
      <c r="BJ44" s="169"/>
      <c r="BK44" s="169"/>
    </row>
    <row r="45" ht="22.5" customHeight="1">
      <c r="A45" s="169"/>
      <c r="B45" s="289"/>
      <c r="C45" s="169"/>
      <c r="D45" s="169"/>
      <c r="E45" s="169"/>
      <c r="F45" s="169"/>
      <c r="G45" s="169"/>
      <c r="H45" s="568"/>
      <c r="I45" s="169"/>
      <c r="J45" s="569"/>
      <c r="K45" s="169"/>
      <c r="L45" s="169"/>
      <c r="M45" s="169"/>
      <c r="N45" s="169"/>
      <c r="O45" s="169"/>
      <c r="P45" s="169"/>
      <c r="Q45" s="169"/>
      <c r="R45" s="169"/>
      <c r="S45" s="169"/>
      <c r="T45" s="169"/>
      <c r="U45" s="169"/>
      <c r="V45" s="169"/>
      <c r="W45" s="169"/>
      <c r="X45" s="169"/>
      <c r="Y45" s="169"/>
      <c r="Z45" s="169"/>
      <c r="AA45" s="169"/>
      <c r="AB45" s="169"/>
      <c r="AC45" s="169"/>
      <c r="AD45" s="169"/>
      <c r="AE45" s="169"/>
      <c r="AF45" s="568"/>
      <c r="AG45" s="568"/>
      <c r="AH45" s="568"/>
      <c r="AI45" s="568"/>
      <c r="AJ45" s="568"/>
      <c r="AK45" s="568"/>
      <c r="AL45" s="568"/>
      <c r="AM45" s="568"/>
      <c r="AN45" s="568"/>
      <c r="AO45" s="568"/>
      <c r="AP45" s="298"/>
      <c r="AQ45" s="568"/>
      <c r="AR45" s="568"/>
      <c r="AS45" s="568"/>
      <c r="AT45" s="568"/>
      <c r="AU45" s="568"/>
      <c r="AV45" s="568"/>
      <c r="AW45" s="568"/>
      <c r="AX45" s="568"/>
      <c r="AY45" s="568"/>
      <c r="AZ45" s="169"/>
      <c r="BA45" s="169"/>
      <c r="BB45" s="570"/>
      <c r="BC45" s="169"/>
      <c r="BD45" s="169"/>
      <c r="BE45" s="169"/>
      <c r="BF45" s="169"/>
      <c r="BG45" s="169"/>
      <c r="BH45" s="169"/>
      <c r="BI45" s="169"/>
      <c r="BJ45" s="169"/>
      <c r="BK45" s="169"/>
    </row>
    <row r="46" ht="22.5" customHeight="1">
      <c r="A46" s="169"/>
      <c r="B46" s="289"/>
      <c r="C46" s="169"/>
      <c r="D46" s="169"/>
      <c r="E46" s="169"/>
      <c r="F46" s="169"/>
      <c r="G46" s="169"/>
      <c r="H46" s="568"/>
      <c r="I46" s="169"/>
      <c r="J46" s="569"/>
      <c r="K46" s="169"/>
      <c r="L46" s="169"/>
      <c r="M46" s="169"/>
      <c r="N46" s="169"/>
      <c r="O46" s="169"/>
      <c r="P46" s="169"/>
      <c r="Q46" s="169"/>
      <c r="R46" s="169"/>
      <c r="S46" s="169"/>
      <c r="T46" s="169"/>
      <c r="U46" s="169"/>
      <c r="V46" s="169"/>
      <c r="W46" s="169"/>
      <c r="X46" s="169"/>
      <c r="Y46" s="169"/>
      <c r="Z46" s="169"/>
      <c r="AA46" s="169"/>
      <c r="AB46" s="169"/>
      <c r="AC46" s="169"/>
      <c r="AD46" s="169"/>
      <c r="AE46" s="169"/>
      <c r="AF46" s="568"/>
      <c r="AG46" s="568"/>
      <c r="AH46" s="568"/>
      <c r="AI46" s="568"/>
      <c r="AJ46" s="568"/>
      <c r="AK46" s="568"/>
      <c r="AL46" s="568"/>
      <c r="AM46" s="568"/>
      <c r="AN46" s="568"/>
      <c r="AO46" s="568"/>
      <c r="AP46" s="298"/>
      <c r="AQ46" s="568"/>
      <c r="AR46" s="568"/>
      <c r="AS46" s="568"/>
      <c r="AT46" s="568"/>
      <c r="AU46" s="568"/>
      <c r="AV46" s="568"/>
      <c r="AW46" s="568"/>
      <c r="AX46" s="568"/>
      <c r="AY46" s="568"/>
      <c r="AZ46" s="169"/>
      <c r="BA46" s="169"/>
      <c r="BB46" s="570"/>
      <c r="BC46" s="169"/>
      <c r="BD46" s="169"/>
      <c r="BE46" s="169"/>
      <c r="BF46" s="169"/>
      <c r="BG46" s="169"/>
      <c r="BH46" s="169"/>
      <c r="BI46" s="169"/>
      <c r="BJ46" s="169"/>
      <c r="BK46" s="169"/>
    </row>
    <row r="47" ht="22.5" customHeight="1">
      <c r="A47" s="169"/>
      <c r="B47" s="289"/>
      <c r="C47" s="169"/>
      <c r="D47" s="169"/>
      <c r="E47" s="169"/>
      <c r="F47" s="169"/>
      <c r="G47" s="169"/>
      <c r="H47" s="568"/>
      <c r="I47" s="169"/>
      <c r="J47" s="569"/>
      <c r="K47" s="169"/>
      <c r="L47" s="169"/>
      <c r="M47" s="169"/>
      <c r="N47" s="169"/>
      <c r="O47" s="169"/>
      <c r="P47" s="169"/>
      <c r="Q47" s="169"/>
      <c r="R47" s="169"/>
      <c r="S47" s="169"/>
      <c r="T47" s="169"/>
      <c r="U47" s="169"/>
      <c r="V47" s="169"/>
      <c r="W47" s="169"/>
      <c r="X47" s="169"/>
      <c r="Y47" s="169"/>
      <c r="Z47" s="169"/>
      <c r="AA47" s="169"/>
      <c r="AB47" s="169"/>
      <c r="AC47" s="169"/>
      <c r="AD47" s="169"/>
      <c r="AE47" s="169"/>
      <c r="AF47" s="568"/>
      <c r="AG47" s="568"/>
      <c r="AH47" s="568"/>
      <c r="AI47" s="568"/>
      <c r="AJ47" s="568"/>
      <c r="AK47" s="568"/>
      <c r="AL47" s="568"/>
      <c r="AM47" s="568"/>
      <c r="AN47" s="568"/>
      <c r="AO47" s="568"/>
      <c r="AP47" s="298"/>
      <c r="AQ47" s="568"/>
      <c r="AR47" s="568"/>
      <c r="AS47" s="568"/>
      <c r="AT47" s="568"/>
      <c r="AU47" s="568"/>
      <c r="AV47" s="568"/>
      <c r="AW47" s="568"/>
      <c r="AX47" s="568"/>
      <c r="AY47" s="568"/>
      <c r="AZ47" s="169"/>
      <c r="BA47" s="169"/>
      <c r="BB47" s="570"/>
      <c r="BC47" s="169"/>
      <c r="BD47" s="169"/>
      <c r="BE47" s="169"/>
      <c r="BF47" s="169"/>
      <c r="BG47" s="169"/>
      <c r="BH47" s="169"/>
      <c r="BI47" s="169"/>
      <c r="BJ47" s="169"/>
      <c r="BK47" s="169"/>
    </row>
    <row r="48" ht="22.5" customHeight="1">
      <c r="A48" s="169"/>
      <c r="B48" s="289"/>
      <c r="C48" s="169"/>
      <c r="D48" s="169"/>
      <c r="E48" s="169"/>
      <c r="F48" s="169"/>
      <c r="G48" s="169"/>
      <c r="H48" s="568"/>
      <c r="I48" s="169"/>
      <c r="J48" s="569"/>
      <c r="K48" s="169"/>
      <c r="L48" s="169"/>
      <c r="M48" s="169"/>
      <c r="N48" s="169"/>
      <c r="O48" s="169"/>
      <c r="P48" s="169"/>
      <c r="Q48" s="169"/>
      <c r="R48" s="169"/>
      <c r="S48" s="169"/>
      <c r="T48" s="169"/>
      <c r="U48" s="169"/>
      <c r="V48" s="169"/>
      <c r="W48" s="169"/>
      <c r="X48" s="169"/>
      <c r="Y48" s="169"/>
      <c r="Z48" s="169"/>
      <c r="AA48" s="169"/>
      <c r="AB48" s="169"/>
      <c r="AC48" s="169"/>
      <c r="AD48" s="169"/>
      <c r="AE48" s="169"/>
      <c r="AF48" s="568"/>
      <c r="AG48" s="568"/>
      <c r="AH48" s="568"/>
      <c r="AI48" s="568"/>
      <c r="AJ48" s="568"/>
      <c r="AK48" s="568"/>
      <c r="AL48" s="568"/>
      <c r="AM48" s="568"/>
      <c r="AN48" s="568"/>
      <c r="AO48" s="568"/>
      <c r="AP48" s="298"/>
      <c r="AQ48" s="568"/>
      <c r="AR48" s="568"/>
      <c r="AS48" s="568"/>
      <c r="AT48" s="568"/>
      <c r="AU48" s="568"/>
      <c r="AV48" s="568"/>
      <c r="AW48" s="568"/>
      <c r="AX48" s="568"/>
      <c r="AY48" s="568"/>
      <c r="AZ48" s="169"/>
      <c r="BA48" s="169"/>
      <c r="BB48" s="570"/>
      <c r="BC48" s="169"/>
      <c r="BD48" s="169"/>
      <c r="BE48" s="169"/>
      <c r="BF48" s="169"/>
      <c r="BG48" s="169"/>
      <c r="BH48" s="169"/>
      <c r="BI48" s="169"/>
      <c r="BJ48" s="169"/>
      <c r="BK48" s="169"/>
    </row>
    <row r="49" ht="22.5" customHeight="1">
      <c r="A49" s="169"/>
      <c r="B49" s="289"/>
      <c r="C49" s="169"/>
      <c r="D49" s="169"/>
      <c r="E49" s="169"/>
      <c r="F49" s="169"/>
      <c r="G49" s="169"/>
      <c r="H49" s="568"/>
      <c r="I49" s="169"/>
      <c r="J49" s="569"/>
      <c r="K49" s="169"/>
      <c r="L49" s="169"/>
      <c r="M49" s="169"/>
      <c r="N49" s="169"/>
      <c r="O49" s="169"/>
      <c r="P49" s="169"/>
      <c r="Q49" s="169"/>
      <c r="R49" s="169"/>
      <c r="S49" s="169"/>
      <c r="T49" s="169"/>
      <c r="U49" s="169"/>
      <c r="V49" s="169"/>
      <c r="W49" s="169"/>
      <c r="X49" s="169"/>
      <c r="Y49" s="169"/>
      <c r="Z49" s="169"/>
      <c r="AA49" s="169"/>
      <c r="AB49" s="169"/>
      <c r="AC49" s="169"/>
      <c r="AD49" s="169"/>
      <c r="AE49" s="169"/>
      <c r="AF49" s="568"/>
      <c r="AG49" s="568"/>
      <c r="AH49" s="568"/>
      <c r="AI49" s="568"/>
      <c r="AJ49" s="568"/>
      <c r="AK49" s="568"/>
      <c r="AL49" s="568"/>
      <c r="AM49" s="568"/>
      <c r="AN49" s="568"/>
      <c r="AO49" s="568"/>
      <c r="AP49" s="298"/>
      <c r="AQ49" s="568"/>
      <c r="AR49" s="568"/>
      <c r="AS49" s="568"/>
      <c r="AT49" s="568"/>
      <c r="AU49" s="568"/>
      <c r="AV49" s="568"/>
      <c r="AW49" s="568"/>
      <c r="AX49" s="568"/>
      <c r="AY49" s="568"/>
      <c r="AZ49" s="169"/>
      <c r="BA49" s="169"/>
      <c r="BB49" s="570"/>
      <c r="BC49" s="169"/>
      <c r="BD49" s="169"/>
      <c r="BE49" s="169"/>
      <c r="BF49" s="169"/>
      <c r="BG49" s="169"/>
      <c r="BH49" s="169"/>
      <c r="BI49" s="169"/>
      <c r="BJ49" s="169"/>
      <c r="BK49" s="169"/>
    </row>
    <row r="50" ht="22.5" customHeight="1">
      <c r="A50" s="169"/>
      <c r="B50" s="289"/>
      <c r="C50" s="169"/>
      <c r="D50" s="169"/>
      <c r="E50" s="169"/>
      <c r="F50" s="169"/>
      <c r="G50" s="169"/>
      <c r="H50" s="568"/>
      <c r="I50" s="169"/>
      <c r="J50" s="569"/>
      <c r="K50" s="169"/>
      <c r="L50" s="169"/>
      <c r="M50" s="169"/>
      <c r="N50" s="169"/>
      <c r="O50" s="169"/>
      <c r="P50" s="169"/>
      <c r="Q50" s="169"/>
      <c r="R50" s="169"/>
      <c r="S50" s="169"/>
      <c r="T50" s="169"/>
      <c r="U50" s="169"/>
      <c r="V50" s="169"/>
      <c r="W50" s="169"/>
      <c r="X50" s="169"/>
      <c r="Y50" s="169"/>
      <c r="Z50" s="169"/>
      <c r="AA50" s="169"/>
      <c r="AB50" s="169"/>
      <c r="AC50" s="169"/>
      <c r="AD50" s="169"/>
      <c r="AE50" s="169"/>
      <c r="AF50" s="568"/>
      <c r="AG50" s="568"/>
      <c r="AH50" s="568"/>
      <c r="AI50" s="568"/>
      <c r="AJ50" s="568"/>
      <c r="AK50" s="568"/>
      <c r="AL50" s="568"/>
      <c r="AM50" s="568"/>
      <c r="AN50" s="568"/>
      <c r="AO50" s="568"/>
      <c r="AP50" s="298"/>
      <c r="AQ50" s="568"/>
      <c r="AR50" s="568"/>
      <c r="AS50" s="568"/>
      <c r="AT50" s="568"/>
      <c r="AU50" s="568"/>
      <c r="AV50" s="568"/>
      <c r="AW50" s="568"/>
      <c r="AX50" s="568"/>
      <c r="AY50" s="568"/>
      <c r="AZ50" s="169"/>
      <c r="BA50" s="169"/>
      <c r="BB50" s="570"/>
      <c r="BC50" s="169"/>
      <c r="BD50" s="169"/>
      <c r="BE50" s="169"/>
      <c r="BF50" s="169"/>
      <c r="BG50" s="169"/>
      <c r="BH50" s="169"/>
      <c r="BI50" s="169"/>
      <c r="BJ50" s="169"/>
      <c r="BK50" s="169"/>
    </row>
    <row r="51" ht="22.5" customHeight="1">
      <c r="A51" s="169"/>
      <c r="B51" s="289"/>
      <c r="C51" s="169"/>
      <c r="D51" s="169"/>
      <c r="E51" s="169"/>
      <c r="F51" s="169"/>
      <c r="G51" s="169"/>
      <c r="H51" s="568"/>
      <c r="I51" s="169"/>
      <c r="J51" s="569"/>
      <c r="K51" s="169"/>
      <c r="L51" s="169"/>
      <c r="M51" s="169"/>
      <c r="N51" s="169"/>
      <c r="O51" s="169"/>
      <c r="P51" s="169"/>
      <c r="Q51" s="169"/>
      <c r="R51" s="169"/>
      <c r="S51" s="169"/>
      <c r="T51" s="169"/>
      <c r="U51" s="169"/>
      <c r="V51" s="169"/>
      <c r="W51" s="169"/>
      <c r="X51" s="169"/>
      <c r="Y51" s="169"/>
      <c r="Z51" s="169"/>
      <c r="AA51" s="169"/>
      <c r="AB51" s="169"/>
      <c r="AC51" s="169"/>
      <c r="AD51" s="169"/>
      <c r="AE51" s="169"/>
      <c r="AF51" s="568"/>
      <c r="AG51" s="568"/>
      <c r="AH51" s="568"/>
      <c r="AI51" s="568"/>
      <c r="AJ51" s="568"/>
      <c r="AK51" s="568"/>
      <c r="AL51" s="568"/>
      <c r="AM51" s="568"/>
      <c r="AN51" s="568"/>
      <c r="AO51" s="568"/>
      <c r="AP51" s="298"/>
      <c r="AQ51" s="568"/>
      <c r="AR51" s="568"/>
      <c r="AS51" s="568"/>
      <c r="AT51" s="568"/>
      <c r="AU51" s="568"/>
      <c r="AV51" s="568"/>
      <c r="AW51" s="568"/>
      <c r="AX51" s="568"/>
      <c r="AY51" s="568"/>
      <c r="AZ51" s="169"/>
      <c r="BA51" s="169"/>
      <c r="BB51" s="570"/>
      <c r="BC51" s="169"/>
      <c r="BD51" s="169"/>
      <c r="BE51" s="169"/>
      <c r="BF51" s="169"/>
      <c r="BG51" s="169"/>
      <c r="BH51" s="169"/>
      <c r="BI51" s="169"/>
      <c r="BJ51" s="169"/>
      <c r="BK51" s="169"/>
    </row>
    <row r="52" ht="22.5" customHeight="1">
      <c r="A52" s="169"/>
      <c r="B52" s="289"/>
      <c r="C52" s="169"/>
      <c r="D52" s="169"/>
      <c r="E52" s="169"/>
      <c r="F52" s="169"/>
      <c r="G52" s="169"/>
      <c r="H52" s="568"/>
      <c r="I52" s="169"/>
      <c r="J52" s="569"/>
      <c r="K52" s="169"/>
      <c r="L52" s="169"/>
      <c r="M52" s="169"/>
      <c r="N52" s="169"/>
      <c r="O52" s="169"/>
      <c r="P52" s="169"/>
      <c r="Q52" s="169"/>
      <c r="R52" s="169"/>
      <c r="S52" s="169"/>
      <c r="T52" s="169"/>
      <c r="U52" s="169"/>
      <c r="V52" s="169"/>
      <c r="W52" s="169"/>
      <c r="X52" s="169"/>
      <c r="Y52" s="169"/>
      <c r="Z52" s="169"/>
      <c r="AA52" s="169"/>
      <c r="AB52" s="169"/>
      <c r="AC52" s="169"/>
      <c r="AD52" s="169"/>
      <c r="AE52" s="169"/>
      <c r="AF52" s="568"/>
      <c r="AG52" s="568"/>
      <c r="AH52" s="568"/>
      <c r="AI52" s="568"/>
      <c r="AJ52" s="568"/>
      <c r="AK52" s="568"/>
      <c r="AL52" s="568"/>
      <c r="AM52" s="568"/>
      <c r="AN52" s="568"/>
      <c r="AO52" s="568"/>
      <c r="AP52" s="298"/>
      <c r="AQ52" s="568"/>
      <c r="AR52" s="568"/>
      <c r="AS52" s="568"/>
      <c r="AT52" s="568"/>
      <c r="AU52" s="568"/>
      <c r="AV52" s="568"/>
      <c r="AW52" s="568"/>
      <c r="AX52" s="568"/>
      <c r="AY52" s="568"/>
      <c r="AZ52" s="169"/>
      <c r="BA52" s="169"/>
      <c r="BB52" s="570"/>
      <c r="BC52" s="169"/>
      <c r="BD52" s="169"/>
      <c r="BE52" s="169"/>
      <c r="BF52" s="169"/>
      <c r="BG52" s="169"/>
      <c r="BH52" s="169"/>
      <c r="BI52" s="169"/>
      <c r="BJ52" s="169"/>
      <c r="BK52" s="169"/>
    </row>
    <row r="53" ht="22.5" customHeight="1">
      <c r="A53" s="169"/>
      <c r="B53" s="289"/>
      <c r="C53" s="169"/>
      <c r="D53" s="169"/>
      <c r="E53" s="169"/>
      <c r="F53" s="169"/>
      <c r="G53" s="169"/>
      <c r="H53" s="568"/>
      <c r="I53" s="169"/>
      <c r="J53" s="569"/>
      <c r="K53" s="169"/>
      <c r="L53" s="169"/>
      <c r="M53" s="169"/>
      <c r="N53" s="169"/>
      <c r="O53" s="169"/>
      <c r="P53" s="169"/>
      <c r="Q53" s="169"/>
      <c r="R53" s="169"/>
      <c r="S53" s="169"/>
      <c r="T53" s="169"/>
      <c r="U53" s="169"/>
      <c r="V53" s="169"/>
      <c r="W53" s="169"/>
      <c r="X53" s="169"/>
      <c r="Y53" s="169"/>
      <c r="Z53" s="169"/>
      <c r="AA53" s="169"/>
      <c r="AB53" s="169"/>
      <c r="AC53" s="169"/>
      <c r="AD53" s="169"/>
      <c r="AE53" s="169"/>
      <c r="AF53" s="568"/>
      <c r="AG53" s="568"/>
      <c r="AH53" s="568"/>
      <c r="AI53" s="568"/>
      <c r="AJ53" s="568"/>
      <c r="AK53" s="568"/>
      <c r="AL53" s="568"/>
      <c r="AM53" s="568"/>
      <c r="AN53" s="568"/>
      <c r="AO53" s="568"/>
      <c r="AP53" s="298"/>
      <c r="AQ53" s="568"/>
      <c r="AR53" s="568"/>
      <c r="AS53" s="568"/>
      <c r="AT53" s="568"/>
      <c r="AU53" s="568"/>
      <c r="AV53" s="568"/>
      <c r="AW53" s="568"/>
      <c r="AX53" s="568"/>
      <c r="AY53" s="568"/>
      <c r="AZ53" s="169"/>
      <c r="BA53" s="169"/>
      <c r="BB53" s="570"/>
      <c r="BC53" s="169"/>
      <c r="BD53" s="169"/>
      <c r="BE53" s="169"/>
      <c r="BF53" s="169"/>
      <c r="BG53" s="169"/>
      <c r="BH53" s="169"/>
      <c r="BI53" s="169"/>
      <c r="BJ53" s="169"/>
      <c r="BK53" s="169"/>
    </row>
    <row r="54" ht="22.5" customHeight="1">
      <c r="A54" s="169"/>
      <c r="B54" s="289"/>
      <c r="C54" s="169"/>
      <c r="D54" s="169"/>
      <c r="E54" s="169"/>
      <c r="F54" s="169"/>
      <c r="G54" s="169"/>
      <c r="H54" s="568"/>
      <c r="I54" s="169"/>
      <c r="J54" s="569"/>
      <c r="K54" s="169"/>
      <c r="L54" s="169"/>
      <c r="M54" s="169"/>
      <c r="N54" s="169"/>
      <c r="O54" s="169"/>
      <c r="P54" s="169"/>
      <c r="Q54" s="169"/>
      <c r="R54" s="169"/>
      <c r="S54" s="169"/>
      <c r="T54" s="169"/>
      <c r="U54" s="169"/>
      <c r="V54" s="169"/>
      <c r="W54" s="169"/>
      <c r="X54" s="169"/>
      <c r="Y54" s="169"/>
      <c r="Z54" s="169"/>
      <c r="AA54" s="169"/>
      <c r="AB54" s="169"/>
      <c r="AC54" s="169"/>
      <c r="AD54" s="169"/>
      <c r="AE54" s="169"/>
      <c r="AF54" s="568"/>
      <c r="AG54" s="568"/>
      <c r="AH54" s="568"/>
      <c r="AI54" s="568"/>
      <c r="AJ54" s="568"/>
      <c r="AK54" s="568"/>
      <c r="AL54" s="568"/>
      <c r="AM54" s="568"/>
      <c r="AN54" s="568"/>
      <c r="AO54" s="568"/>
      <c r="AP54" s="298"/>
      <c r="AQ54" s="568"/>
      <c r="AR54" s="568"/>
      <c r="AS54" s="568"/>
      <c r="AT54" s="568"/>
      <c r="AU54" s="568"/>
      <c r="AV54" s="568"/>
      <c r="AW54" s="568"/>
      <c r="AX54" s="568"/>
      <c r="AY54" s="568"/>
      <c r="AZ54" s="169"/>
      <c r="BA54" s="169"/>
      <c r="BB54" s="570"/>
      <c r="BC54" s="169"/>
      <c r="BD54" s="169"/>
      <c r="BE54" s="169"/>
      <c r="BF54" s="169"/>
      <c r="BG54" s="169"/>
      <c r="BH54" s="169"/>
      <c r="BI54" s="169"/>
      <c r="BJ54" s="169"/>
      <c r="BK54" s="169"/>
    </row>
    <row r="55" ht="22.5" customHeight="1">
      <c r="A55" s="169"/>
      <c r="B55" s="289"/>
      <c r="C55" s="169"/>
      <c r="D55" s="169"/>
      <c r="E55" s="169"/>
      <c r="F55" s="169"/>
      <c r="G55" s="169"/>
      <c r="H55" s="568"/>
      <c r="I55" s="169"/>
      <c r="J55" s="569"/>
      <c r="K55" s="169"/>
      <c r="L55" s="169"/>
      <c r="M55" s="169"/>
      <c r="N55" s="169"/>
      <c r="O55" s="169"/>
      <c r="P55" s="169"/>
      <c r="Q55" s="169"/>
      <c r="R55" s="169"/>
      <c r="S55" s="169"/>
      <c r="T55" s="169"/>
      <c r="U55" s="169"/>
      <c r="V55" s="169"/>
      <c r="W55" s="169"/>
      <c r="X55" s="169"/>
      <c r="Y55" s="169"/>
      <c r="Z55" s="169"/>
      <c r="AA55" s="169"/>
      <c r="AB55" s="169"/>
      <c r="AC55" s="169"/>
      <c r="AD55" s="169"/>
      <c r="AE55" s="169"/>
      <c r="AF55" s="568"/>
      <c r="AG55" s="568"/>
      <c r="AH55" s="568"/>
      <c r="AI55" s="568"/>
      <c r="AJ55" s="568"/>
      <c r="AK55" s="568"/>
      <c r="AL55" s="568"/>
      <c r="AM55" s="568"/>
      <c r="AN55" s="568"/>
      <c r="AO55" s="568"/>
      <c r="AP55" s="298"/>
      <c r="AQ55" s="568"/>
      <c r="AR55" s="568"/>
      <c r="AS55" s="568"/>
      <c r="AT55" s="568"/>
      <c r="AU55" s="568"/>
      <c r="AV55" s="568"/>
      <c r="AW55" s="568"/>
      <c r="AX55" s="568"/>
      <c r="AY55" s="568"/>
      <c r="AZ55" s="169"/>
      <c r="BA55" s="169"/>
      <c r="BB55" s="570"/>
      <c r="BC55" s="169"/>
      <c r="BD55" s="169"/>
      <c r="BE55" s="169"/>
      <c r="BF55" s="169"/>
      <c r="BG55" s="169"/>
      <c r="BH55" s="169"/>
      <c r="BI55" s="169"/>
      <c r="BJ55" s="169"/>
      <c r="BK55" s="169"/>
    </row>
  </sheetData>
  <mergeCells count="158">
    <mergeCell ref="AL2:AO2"/>
    <mergeCell ref="AQ2:AT2"/>
    <mergeCell ref="AV2:AY2"/>
    <mergeCell ref="BA2:BD2"/>
    <mergeCell ref="BF2:BI2"/>
    <mergeCell ref="AG2:AJ2"/>
    <mergeCell ref="AG4:AG8"/>
    <mergeCell ref="AL4:AL8"/>
    <mergeCell ref="AQ4:AQ8"/>
    <mergeCell ref="AV4:AV8"/>
    <mergeCell ref="BA4:BA8"/>
    <mergeCell ref="BF4:BF8"/>
    <mergeCell ref="H2:K2"/>
    <mergeCell ref="R2:U2"/>
    <mergeCell ref="AB2:AE2"/>
    <mergeCell ref="B4:B8"/>
    <mergeCell ref="H4:H8"/>
    <mergeCell ref="R4:R8"/>
    <mergeCell ref="AB4:AB8"/>
    <mergeCell ref="AV9:AV14"/>
    <mergeCell ref="BA9:BA14"/>
    <mergeCell ref="BF9:BF14"/>
    <mergeCell ref="W2:Z2"/>
    <mergeCell ref="W4:W8"/>
    <mergeCell ref="W9:W14"/>
    <mergeCell ref="AB9:AB14"/>
    <mergeCell ref="AG9:AG14"/>
    <mergeCell ref="AL9:AL14"/>
    <mergeCell ref="AQ9:AQ14"/>
    <mergeCell ref="AB15:AB20"/>
    <mergeCell ref="AG15:AG20"/>
    <mergeCell ref="AL15:AL20"/>
    <mergeCell ref="AQ15:AQ20"/>
    <mergeCell ref="AV15:AV20"/>
    <mergeCell ref="BA15:BA20"/>
    <mergeCell ref="BF15:BF20"/>
    <mergeCell ref="M2:P2"/>
    <mergeCell ref="M4:M8"/>
    <mergeCell ref="M9:M14"/>
    <mergeCell ref="R9:R14"/>
    <mergeCell ref="M15:M20"/>
    <mergeCell ref="R15:R20"/>
    <mergeCell ref="W15:W20"/>
    <mergeCell ref="E2:F2"/>
    <mergeCell ref="E4:E8"/>
    <mergeCell ref="B9:B14"/>
    <mergeCell ref="E9:E14"/>
    <mergeCell ref="H9:H14"/>
    <mergeCell ref="E15:E20"/>
    <mergeCell ref="E21:E24"/>
    <mergeCell ref="B15:B20"/>
    <mergeCell ref="B21:B24"/>
    <mergeCell ref="B25:B29"/>
    <mergeCell ref="B30:B36"/>
    <mergeCell ref="E30:E36"/>
    <mergeCell ref="H30:H36"/>
    <mergeCell ref="M30:M36"/>
    <mergeCell ref="N37:N38"/>
    <mergeCell ref="O37:O38"/>
    <mergeCell ref="P37:P38"/>
    <mergeCell ref="R37:R38"/>
    <mergeCell ref="S37:S38"/>
    <mergeCell ref="T37:T38"/>
    <mergeCell ref="U37:U38"/>
    <mergeCell ref="AQ40:AT40"/>
    <mergeCell ref="AV40:AY40"/>
    <mergeCell ref="BA40:BD40"/>
    <mergeCell ref="BF40:BI40"/>
    <mergeCell ref="H40:K40"/>
    <mergeCell ref="M40:P40"/>
    <mergeCell ref="R40:U40"/>
    <mergeCell ref="W40:Z40"/>
    <mergeCell ref="AB40:AE40"/>
    <mergeCell ref="AG40:AJ40"/>
    <mergeCell ref="AL40:AO40"/>
    <mergeCell ref="E37:E38"/>
    <mergeCell ref="F37:F38"/>
    <mergeCell ref="H37:H38"/>
    <mergeCell ref="I37:I38"/>
    <mergeCell ref="J37:J38"/>
    <mergeCell ref="K37:K38"/>
    <mergeCell ref="M37:M38"/>
    <mergeCell ref="AQ41:AT41"/>
    <mergeCell ref="AV41:AY41"/>
    <mergeCell ref="BA41:BD41"/>
    <mergeCell ref="BF41:BI41"/>
    <mergeCell ref="H41:K41"/>
    <mergeCell ref="M41:P41"/>
    <mergeCell ref="R41:U41"/>
    <mergeCell ref="W41:Z41"/>
    <mergeCell ref="AB41:AE41"/>
    <mergeCell ref="AG41:AJ41"/>
    <mergeCell ref="AL41:AO41"/>
    <mergeCell ref="AN37:AN38"/>
    <mergeCell ref="AO37:AO38"/>
    <mergeCell ref="AE37:AE38"/>
    <mergeCell ref="AG37:AG38"/>
    <mergeCell ref="AH37:AH38"/>
    <mergeCell ref="AI37:AI38"/>
    <mergeCell ref="AJ37:AJ38"/>
    <mergeCell ref="AL37:AL38"/>
    <mergeCell ref="AM37:AM38"/>
    <mergeCell ref="AY37:AY38"/>
    <mergeCell ref="BA37:BA38"/>
    <mergeCell ref="BG37:BG38"/>
    <mergeCell ref="BH37:BH38"/>
    <mergeCell ref="BI37:BI38"/>
    <mergeCell ref="AQ37:AQ38"/>
    <mergeCell ref="AR37:AR38"/>
    <mergeCell ref="AS37:AS38"/>
    <mergeCell ref="AT37:AT38"/>
    <mergeCell ref="AV37:AV38"/>
    <mergeCell ref="AW37:AW38"/>
    <mergeCell ref="AX37:AX38"/>
    <mergeCell ref="AL21:AL24"/>
    <mergeCell ref="AQ21:AQ24"/>
    <mergeCell ref="AV21:AV24"/>
    <mergeCell ref="BA21:BA24"/>
    <mergeCell ref="BF21:BF24"/>
    <mergeCell ref="H15:H20"/>
    <mergeCell ref="H21:H24"/>
    <mergeCell ref="M21:M24"/>
    <mergeCell ref="R21:R24"/>
    <mergeCell ref="W21:W24"/>
    <mergeCell ref="AB21:AB24"/>
    <mergeCell ref="AG21:AG24"/>
    <mergeCell ref="AL25:AL29"/>
    <mergeCell ref="AQ25:AQ29"/>
    <mergeCell ref="AV25:AV29"/>
    <mergeCell ref="BA25:BA29"/>
    <mergeCell ref="BF25:BF29"/>
    <mergeCell ref="E25:E29"/>
    <mergeCell ref="H25:H29"/>
    <mergeCell ref="M25:M29"/>
    <mergeCell ref="R25:R29"/>
    <mergeCell ref="W25:W29"/>
    <mergeCell ref="AB25:AB29"/>
    <mergeCell ref="AG25:AG29"/>
    <mergeCell ref="BA30:BA36"/>
    <mergeCell ref="BF30:BF36"/>
    <mergeCell ref="BB37:BB38"/>
    <mergeCell ref="BC37:BC38"/>
    <mergeCell ref="BD37:BD38"/>
    <mergeCell ref="BF37:BF38"/>
    <mergeCell ref="R30:R36"/>
    <mergeCell ref="W30:W36"/>
    <mergeCell ref="AB30:AB36"/>
    <mergeCell ref="AG30:AG36"/>
    <mergeCell ref="AL30:AL36"/>
    <mergeCell ref="AQ30:AQ36"/>
    <mergeCell ref="AV30:AV36"/>
    <mergeCell ref="W37:W38"/>
    <mergeCell ref="X37:X38"/>
    <mergeCell ref="Y37:Y38"/>
    <mergeCell ref="Z37:Z38"/>
    <mergeCell ref="AB37:AB38"/>
    <mergeCell ref="AC37:AC38"/>
    <mergeCell ref="AD37:AD38"/>
  </mergeCells>
  <conditionalFormatting sqref="E4:E36 F4:F42 H4:H36 I4:I39 M4:M36 N4:N38 R4:R36 S4:S38 W4:W36 X4:X38 AB4:AB36 AC4:AC38 AG4:AG36 AH4:AH38 AL4:AL36 AM4:AM38 AQ4:AQ36 AR4:AR38 AV4:AV36 AW4:AW38 BA4:BA36 BB4:BB38 BF4:BF36 BG4:BG38">
    <cfRule type="cellIs" dxfId="4" priority="1" operator="between">
      <formula>5.50001</formula>
      <formula>6</formula>
    </cfRule>
  </conditionalFormatting>
  <conditionalFormatting sqref="E4:E36 F4:F42 H4:H36 I4:I39 M4:M36 N4:N38 R4:R36 S4:S38 W4:W36 X4:X38 AB4:AB36 AC4:AC38 AG4:AG36 AH4:AH38 AL4:AL36 AM4:AM38 AQ4:AQ36 AR4:AR38 AV4:AV36 AW4:AW38 BA4:BA36 BB4:BB38 BF4:BF36 BG4:BG38">
    <cfRule type="cellIs" dxfId="1" priority="2" operator="greaterThan">
      <formula>8</formula>
    </cfRule>
  </conditionalFormatting>
  <conditionalFormatting sqref="E4:E36 F4:F42 H4:H36 I4:I39 M4:M36 N4:N38 R4:R36 S4:S38 W4:W36 X4:X38 AB4:AB36 AC4:AC38 AG4:AG36 AH4:AH38 AL4:AL36 AM4:AM38 AQ4:AQ36 AR4:AR38 AV4:AV36 AW4:AW38 BA4:BA36 BB4:BB38 BF4:BF36 BG4:BG38">
    <cfRule type="cellIs" dxfId="2" priority="3" operator="between">
      <formula>7.0001</formula>
      <formula>8</formula>
    </cfRule>
  </conditionalFormatting>
  <conditionalFormatting sqref="E4:E36 F4:F42 H4:H36 I4:I39 M4:M36 N4:N38 R4:R36 S4:S38 W4:W36 X4:X38 AB4:AB36 AC4:AC38 AG4:AG36 AH4:AH38 AL4:AL36 AM4:AM38 AQ4:AQ36 AR4:AR38 AV4:AV36 AW4:AW38 BA4:BA36 BB4:BB38 BF4:BF36 BG4:BG38">
    <cfRule type="cellIs" dxfId="3" priority="4" operator="between">
      <formula>6.50001</formula>
      <formula>7</formula>
    </cfRule>
  </conditionalFormatting>
  <conditionalFormatting sqref="E4:E36 F4:F42 H4:H36 I4:I39 M4:M36 N4:N38 R4:R36 S4:S38 W4:W36 X4:X38 AB4:AB36 AC4:AC38 AG4:AG36 AH4:AH38 AL4:AL36 AM4:AM38 AQ4:AQ36 AR4:AR38 AV4:AV36 AW4:AW38 BA4:BA36 BB4:BB38 BF4:BF36 BG4:BG38">
    <cfRule type="cellIs" dxfId="5" priority="5" operator="between">
      <formula>6.0001</formula>
      <formula>6.5</formula>
    </cfRule>
  </conditionalFormatting>
  <conditionalFormatting sqref="E4:E36 F4:F42 H4:H36 I4:I39 M4:M36 N4:N38 R4:R36 S4:S38 W4:W36 X4:X38 AB4:AB36 AC4:AC38 AG4:AG36 AH4:AH38 AL4:AL36 AM4:AM38 AQ4:AQ36 AR4:AR38 AV4:AV36 AW4:AW38 BA4:BA36 BB4:BB38 BF4:BF36 BG4:BG38">
    <cfRule type="cellIs" dxfId="6" priority="6" operator="between">
      <formula>0</formula>
      <formula>5.5</formula>
    </cfRule>
  </conditionalFormatting>
  <conditionalFormatting sqref="K4:K38 P4:P38 U4:U38 Z4:Z38 AE4:AE38 AJ4:AJ38 AO4:AO38 AT4:AT38">
    <cfRule type="cellIs" dxfId="7" priority="7" operator="lessThan">
      <formula>-0.8</formula>
    </cfRule>
  </conditionalFormatting>
  <conditionalFormatting sqref="K4:K38 P4:P38 U4:U38 Z4:Z38 AE4:AE38 AJ4:AJ38 AO4:AO38 AT4:AT38">
    <cfRule type="cellIs" dxfId="8" priority="8" operator="between">
      <formula>-0.8</formula>
      <formula>0.8</formula>
    </cfRule>
  </conditionalFormatting>
  <conditionalFormatting sqref="K4:K38 P4:P38 U4:U38 Z4:Z38 AE4:AE38 AJ4:AJ38 AO4:AO38 AT4:AT38">
    <cfRule type="cellIs" dxfId="11" priority="9" operator="greaterThan">
      <formula>0.8</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4.43" defaultRowHeight="15.0"/>
  <cols>
    <col customWidth="1" min="1" max="1" width="4.43"/>
    <col customWidth="1" min="2" max="2" width="13.43"/>
    <col customWidth="1" min="3" max="3" width="58.71"/>
    <col customWidth="1" min="4" max="5" width="14.29"/>
    <col customWidth="1" min="6" max="6" width="10.14"/>
    <col customWidth="1" min="7" max="7" width="8.71"/>
    <col customWidth="1" min="8" max="8" width="12.43"/>
    <col customWidth="1" min="9" max="9" width="10.14"/>
    <col customWidth="1" min="10" max="11" width="14.71"/>
    <col customWidth="1" min="12" max="12" width="8.71"/>
    <col customWidth="1" min="13" max="13" width="12.0"/>
    <col customWidth="1" min="14" max="14" width="10.14"/>
    <col customWidth="1" min="15" max="15" width="16.57"/>
    <col customWidth="1" min="16" max="16" width="15.0"/>
    <col customWidth="1" min="17" max="17" width="8.71"/>
    <col customWidth="1" min="18" max="18" width="12.43"/>
    <col customWidth="1" min="19" max="19" width="10.14"/>
    <col customWidth="1" min="20" max="20" width="17.0"/>
    <col customWidth="1" min="21" max="21" width="14.71"/>
    <col customWidth="1" min="22" max="22" width="8.71"/>
    <col customWidth="1" min="23" max="23" width="12.71"/>
    <col customWidth="1" min="24" max="24" width="10.14"/>
    <col customWidth="1" min="25" max="25" width="18.0"/>
    <col customWidth="1" min="26" max="26" width="14.86"/>
    <col customWidth="1" min="27" max="27" width="8.71"/>
    <col customWidth="1" min="28" max="28" width="12.43"/>
    <col customWidth="1" min="29" max="29" width="10.14"/>
    <col customWidth="1" min="30" max="30" width="15.71"/>
    <col customWidth="1" min="31" max="31" width="14.14"/>
    <col customWidth="1" min="32" max="32" width="8.71"/>
    <col customWidth="1" min="33" max="33" width="13.29"/>
    <col customWidth="1" min="34" max="34" width="11.43"/>
    <col customWidth="1" min="35" max="35" width="15.71"/>
    <col customWidth="1" min="36" max="36" width="14.0"/>
    <col customWidth="1" min="37" max="37" width="8.71"/>
    <col customWidth="1" min="38" max="38" width="13.0"/>
    <col customWidth="1" min="39" max="39" width="10.14"/>
    <col customWidth="1" min="40" max="40" width="16.71"/>
    <col customWidth="1" min="41" max="41" width="14.0"/>
    <col customWidth="1" min="42" max="42" width="8.71"/>
    <col customWidth="1" min="43" max="43" width="13.0"/>
    <col customWidth="1" min="44" max="44" width="10.14"/>
    <col customWidth="1" min="45" max="45" width="16.71"/>
    <col customWidth="1" min="46" max="46" width="14.0"/>
    <col customWidth="1" min="47" max="47" width="8.71"/>
    <col customWidth="1" min="48" max="48" width="13.0"/>
    <col customWidth="1" min="49" max="49" width="10.14"/>
    <col customWidth="1" min="50" max="50" width="16.71"/>
    <col customWidth="1" min="51" max="51" width="14.0"/>
    <col customWidth="1" min="52" max="52" width="8.71"/>
    <col customWidth="1" min="53" max="53" width="13.0"/>
    <col customWidth="1" min="54" max="54" width="10.14"/>
    <col customWidth="1" min="55" max="55" width="16.71"/>
    <col customWidth="1" min="56" max="56" width="14.0"/>
    <col customWidth="1" min="57" max="57" width="15.29"/>
  </cols>
  <sheetData>
    <row r="1" ht="22.5" customHeight="1">
      <c r="A1" s="164"/>
      <c r="B1" s="164"/>
      <c r="C1" s="164"/>
      <c r="D1" s="164"/>
      <c r="E1" s="164"/>
      <c r="F1" s="164"/>
      <c r="G1" s="164"/>
      <c r="H1" s="164"/>
      <c r="I1" s="164"/>
      <c r="J1" s="571"/>
      <c r="K1" s="164"/>
      <c r="L1" s="164"/>
      <c r="M1" s="164"/>
      <c r="N1" s="164"/>
      <c r="O1" s="164"/>
      <c r="P1" s="164"/>
      <c r="Q1" s="164"/>
      <c r="R1" s="164"/>
      <c r="S1" s="164"/>
      <c r="T1" s="164"/>
      <c r="U1" s="164"/>
      <c r="V1" s="164"/>
      <c r="W1" s="164"/>
      <c r="X1" s="164"/>
      <c r="Y1" s="164"/>
      <c r="Z1" s="164"/>
      <c r="AA1" s="164"/>
      <c r="AB1" s="164"/>
      <c r="AC1" s="164"/>
      <c r="AD1" s="164"/>
      <c r="AE1" s="164"/>
      <c r="AF1" s="164"/>
      <c r="AG1" s="164"/>
      <c r="AH1" s="164"/>
      <c r="AI1" s="164"/>
      <c r="AJ1" s="164"/>
      <c r="AK1" s="169"/>
      <c r="AL1" s="169"/>
      <c r="AM1" s="169"/>
      <c r="AN1" s="169"/>
      <c r="AO1" s="169"/>
      <c r="AP1" s="169"/>
      <c r="AQ1" s="169"/>
      <c r="AR1" s="169"/>
      <c r="AS1" s="169"/>
      <c r="AT1" s="169"/>
      <c r="AU1" s="169"/>
      <c r="AV1" s="169"/>
      <c r="AW1" s="169"/>
      <c r="AX1" s="169"/>
      <c r="AY1" s="169"/>
      <c r="AZ1" s="169"/>
      <c r="BA1" s="169"/>
      <c r="BB1" s="169"/>
      <c r="BC1" s="169"/>
      <c r="BD1" s="169"/>
      <c r="BE1" s="190"/>
    </row>
    <row r="2" ht="46.5" customHeight="1">
      <c r="A2" s="165"/>
      <c r="B2" s="166" t="s">
        <v>76</v>
      </c>
      <c r="C2" s="167" t="s">
        <v>125</v>
      </c>
      <c r="D2" s="164"/>
      <c r="E2" s="168" t="s">
        <v>126</v>
      </c>
      <c r="F2" s="44"/>
      <c r="G2" s="169"/>
      <c r="H2" s="572" t="s">
        <v>127</v>
      </c>
      <c r="I2" s="573"/>
      <c r="J2" s="573"/>
      <c r="K2" s="574"/>
      <c r="L2" s="170"/>
      <c r="M2" s="572" t="s">
        <v>128</v>
      </c>
      <c r="N2" s="573"/>
      <c r="O2" s="573"/>
      <c r="P2" s="574"/>
      <c r="Q2" s="170"/>
      <c r="R2" s="572" t="s">
        <v>129</v>
      </c>
      <c r="S2" s="573"/>
      <c r="T2" s="573"/>
      <c r="U2" s="574"/>
      <c r="V2" s="170"/>
      <c r="W2" s="572" t="s">
        <v>130</v>
      </c>
      <c r="X2" s="573"/>
      <c r="Y2" s="573"/>
      <c r="Z2" s="574"/>
      <c r="AA2" s="170"/>
      <c r="AB2" s="572" t="s">
        <v>131</v>
      </c>
      <c r="AC2" s="573"/>
      <c r="AD2" s="573"/>
      <c r="AE2" s="574"/>
      <c r="AF2" s="170"/>
      <c r="AG2" s="572" t="s">
        <v>132</v>
      </c>
      <c r="AH2" s="573"/>
      <c r="AI2" s="573"/>
      <c r="AJ2" s="574"/>
      <c r="AK2" s="170"/>
      <c r="AL2" s="572" t="s">
        <v>133</v>
      </c>
      <c r="AM2" s="573"/>
      <c r="AN2" s="573"/>
      <c r="AO2" s="574"/>
      <c r="AP2" s="575"/>
      <c r="AQ2" s="572" t="s">
        <v>134</v>
      </c>
      <c r="AR2" s="573"/>
      <c r="AS2" s="573"/>
      <c r="AT2" s="574"/>
      <c r="AU2" s="575"/>
      <c r="AV2" s="572" t="s">
        <v>135</v>
      </c>
      <c r="AW2" s="573"/>
      <c r="AX2" s="573"/>
      <c r="AY2" s="574"/>
      <c r="AZ2" s="575"/>
      <c r="BA2" s="572" t="s">
        <v>136</v>
      </c>
      <c r="BB2" s="573"/>
      <c r="BC2" s="573"/>
      <c r="BD2" s="574"/>
      <c r="BE2" s="45"/>
    </row>
    <row r="3" ht="33.0" customHeight="1">
      <c r="A3" s="171"/>
      <c r="B3" s="172"/>
      <c r="C3" s="172"/>
      <c r="D3" s="164"/>
      <c r="E3" s="173" t="s">
        <v>27</v>
      </c>
      <c r="F3" s="174" t="s">
        <v>4</v>
      </c>
      <c r="G3" s="169"/>
      <c r="H3" s="576" t="s">
        <v>27</v>
      </c>
      <c r="I3" s="576" t="s">
        <v>4</v>
      </c>
      <c r="J3" s="577" t="s">
        <v>5</v>
      </c>
      <c r="K3" s="576" t="s">
        <v>28</v>
      </c>
      <c r="L3" s="170"/>
      <c r="M3" s="576" t="s">
        <v>27</v>
      </c>
      <c r="N3" s="578" t="s">
        <v>4</v>
      </c>
      <c r="O3" s="576" t="s">
        <v>5</v>
      </c>
      <c r="P3" s="576" t="s">
        <v>28</v>
      </c>
      <c r="Q3" s="170"/>
      <c r="R3" s="576" t="s">
        <v>27</v>
      </c>
      <c r="S3" s="578" t="s">
        <v>4</v>
      </c>
      <c r="T3" s="576" t="s">
        <v>5</v>
      </c>
      <c r="U3" s="576" t="s">
        <v>28</v>
      </c>
      <c r="V3" s="170"/>
      <c r="W3" s="576" t="s">
        <v>27</v>
      </c>
      <c r="X3" s="578" t="s">
        <v>4</v>
      </c>
      <c r="Y3" s="576" t="s">
        <v>5</v>
      </c>
      <c r="Z3" s="576" t="s">
        <v>28</v>
      </c>
      <c r="AA3" s="170"/>
      <c r="AB3" s="576" t="s">
        <v>27</v>
      </c>
      <c r="AC3" s="578" t="s">
        <v>4</v>
      </c>
      <c r="AD3" s="576" t="s">
        <v>5</v>
      </c>
      <c r="AE3" s="576" t="s">
        <v>28</v>
      </c>
      <c r="AF3" s="170"/>
      <c r="AG3" s="576" t="s">
        <v>27</v>
      </c>
      <c r="AH3" s="578" t="s">
        <v>4</v>
      </c>
      <c r="AI3" s="576" t="s">
        <v>5</v>
      </c>
      <c r="AJ3" s="576" t="s">
        <v>28</v>
      </c>
      <c r="AK3" s="170"/>
      <c r="AL3" s="576" t="s">
        <v>27</v>
      </c>
      <c r="AM3" s="578" t="s">
        <v>4</v>
      </c>
      <c r="AN3" s="576" t="s">
        <v>5</v>
      </c>
      <c r="AO3" s="576" t="s">
        <v>28</v>
      </c>
      <c r="AP3" s="579"/>
      <c r="AQ3" s="576" t="s">
        <v>27</v>
      </c>
      <c r="AR3" s="578" t="s">
        <v>4</v>
      </c>
      <c r="AS3" s="576" t="s">
        <v>5</v>
      </c>
      <c r="AT3" s="576" t="s">
        <v>28</v>
      </c>
      <c r="AU3" s="579"/>
      <c r="AV3" s="576" t="s">
        <v>27</v>
      </c>
      <c r="AW3" s="576" t="s">
        <v>4</v>
      </c>
      <c r="AX3" s="576" t="s">
        <v>5</v>
      </c>
      <c r="AY3" s="576" t="s">
        <v>28</v>
      </c>
      <c r="AZ3" s="579"/>
      <c r="BA3" s="576" t="s">
        <v>27</v>
      </c>
      <c r="BB3" s="576" t="s">
        <v>4</v>
      </c>
      <c r="BC3" s="576" t="s">
        <v>5</v>
      </c>
      <c r="BD3" s="576" t="s">
        <v>28</v>
      </c>
      <c r="BE3" s="45"/>
    </row>
    <row r="4" ht="52.5" customHeight="1">
      <c r="A4" s="180"/>
      <c r="B4" s="52" t="s">
        <v>29</v>
      </c>
      <c r="C4" s="53" t="s">
        <v>30</v>
      </c>
      <c r="D4" s="164"/>
      <c r="E4" s="54">
        <f>AVERAGE(F4:F8)</f>
        <v>6.427590354</v>
      </c>
      <c r="F4" s="55">
        <f t="shared" ref="F4:F36" si="1">AVERAGE(I4,N4,S4,X4,AC4,AH4,AM4,AR4,AW4,BB4)</f>
        <v>6.491729243</v>
      </c>
      <c r="G4" s="191"/>
      <c r="H4" s="79">
        <f>AVERAGE(I4:I8)</f>
        <v>7.43125</v>
      </c>
      <c r="I4" s="80">
        <v>7.65625</v>
      </c>
      <c r="J4" s="580">
        <v>1.075774914499621</v>
      </c>
      <c r="K4" s="581">
        <v>-0.34375</v>
      </c>
      <c r="L4" s="184"/>
      <c r="M4" s="79">
        <f>AVERAGE(N4:N8)</f>
        <v>5.726666667</v>
      </c>
      <c r="N4" s="80">
        <v>5.466666666666667</v>
      </c>
      <c r="O4" s="278">
        <v>0.833809387832792</v>
      </c>
      <c r="P4" s="582">
        <v>-0.5333333333333332</v>
      </c>
      <c r="Q4" s="184"/>
      <c r="R4" s="79">
        <f>AVERAGE(S4:S8)</f>
        <v>6.711111111</v>
      </c>
      <c r="S4" s="80">
        <v>6.75</v>
      </c>
      <c r="T4" s="81">
        <v>0.9115274833712785</v>
      </c>
      <c r="U4" s="583">
        <v>-0.75</v>
      </c>
      <c r="V4" s="184"/>
      <c r="W4" s="79">
        <f>AVERAGE(X4:X8)</f>
        <v>5.257142857</v>
      </c>
      <c r="X4" s="80">
        <v>5.357142857142857</v>
      </c>
      <c r="Y4" s="580">
        <v>0.6333236937766509</v>
      </c>
      <c r="Z4" s="81">
        <v>0.35714285714285676</v>
      </c>
      <c r="AA4" s="184"/>
      <c r="AB4" s="79">
        <f>AVERAGE(AC4:AC8)</f>
        <v>7.2375</v>
      </c>
      <c r="AC4" s="80">
        <v>6.875</v>
      </c>
      <c r="AD4" s="380">
        <v>0.9574271077563381</v>
      </c>
      <c r="AE4" s="584">
        <v>-1.125</v>
      </c>
      <c r="AF4" s="184"/>
      <c r="AG4" s="79">
        <f>AVERAGE(AH4:AH8)</f>
        <v>6.3625</v>
      </c>
      <c r="AH4" s="80">
        <v>6.5</v>
      </c>
      <c r="AI4" s="585">
        <v>0.816496580927726</v>
      </c>
      <c r="AJ4" s="81">
        <v>0.5</v>
      </c>
      <c r="AK4" s="184"/>
      <c r="AL4" s="79">
        <f>AVERAGE(AM4:AM8)</f>
        <v>6.425</v>
      </c>
      <c r="AM4" s="80">
        <v>6.291666666666667</v>
      </c>
      <c r="AN4" s="278">
        <v>0.6200562046860728</v>
      </c>
      <c r="AO4" s="586">
        <v>1.291666666666667</v>
      </c>
      <c r="AP4" s="184"/>
      <c r="AQ4" s="79">
        <f>AVERAGE(AR4:AR8)</f>
        <v>6.444444444</v>
      </c>
      <c r="AR4" s="80">
        <v>6.777777777777778</v>
      </c>
      <c r="AS4" s="587">
        <v>0.8084520834544433</v>
      </c>
      <c r="AT4" s="588">
        <v>-0.22222222222222232</v>
      </c>
      <c r="AU4" s="184"/>
      <c r="AV4" s="79">
        <f>AVERAGE(AW4:AW8)</f>
        <v>6.161538462</v>
      </c>
      <c r="AW4" s="80">
        <v>6.461538461538462</v>
      </c>
      <c r="AX4" s="230">
        <v>0.7762500258061849</v>
      </c>
      <c r="AY4" s="581">
        <v>0.4615384615384617</v>
      </c>
      <c r="AZ4" s="184"/>
      <c r="BA4" s="79">
        <f>AVERAGE(BB4:BB8)</f>
        <v>6.51875</v>
      </c>
      <c r="BB4" s="80">
        <v>6.78125</v>
      </c>
      <c r="BC4" s="210">
        <v>0.7951676971976834</v>
      </c>
      <c r="BD4" s="589">
        <v>-0.71875</v>
      </c>
      <c r="BE4" s="590"/>
    </row>
    <row r="5" ht="52.5" customHeight="1">
      <c r="A5" s="180"/>
      <c r="B5" s="61"/>
      <c r="C5" s="53" t="s">
        <v>31</v>
      </c>
      <c r="D5" s="164"/>
      <c r="E5" s="61"/>
      <c r="F5" s="55">
        <f t="shared" si="1"/>
        <v>6.254447879</v>
      </c>
      <c r="G5" s="191"/>
      <c r="H5" s="61"/>
      <c r="I5" s="55">
        <v>8.421875</v>
      </c>
      <c r="J5" s="63">
        <v>1.1464392337436236</v>
      </c>
      <c r="K5" s="57">
        <v>-1.578125</v>
      </c>
      <c r="L5" s="184"/>
      <c r="M5" s="61"/>
      <c r="N5" s="55">
        <v>5.4</v>
      </c>
      <c r="O5" s="237">
        <v>0.828078671210825</v>
      </c>
      <c r="P5" s="57">
        <v>-1.5999999999999996</v>
      </c>
      <c r="Q5" s="184"/>
      <c r="R5" s="61"/>
      <c r="S5" s="55">
        <v>6.444444444444445</v>
      </c>
      <c r="T5" s="526">
        <v>0.9835244081556435</v>
      </c>
      <c r="U5" s="57">
        <v>-1.5555555555555554</v>
      </c>
      <c r="V5" s="184"/>
      <c r="W5" s="61"/>
      <c r="X5" s="55">
        <v>4.821428571428571</v>
      </c>
      <c r="Y5" s="237">
        <v>0.9528730413685933</v>
      </c>
      <c r="Z5" s="66">
        <v>0.8214285714285712</v>
      </c>
      <c r="AA5" s="184"/>
      <c r="AB5" s="61"/>
      <c r="AC5" s="55">
        <v>6.5</v>
      </c>
      <c r="AD5" s="132">
        <v>1.2110601416389966</v>
      </c>
      <c r="AE5" s="146">
        <v>-0.5</v>
      </c>
      <c r="AF5" s="184"/>
      <c r="AG5" s="61"/>
      <c r="AH5" s="55">
        <v>6.0</v>
      </c>
      <c r="AI5" s="194">
        <v>1.1547005383792515</v>
      </c>
      <c r="AJ5" s="146">
        <v>-2.0</v>
      </c>
      <c r="AK5" s="184"/>
      <c r="AL5" s="61"/>
      <c r="AM5" s="55">
        <v>6.333333333333333</v>
      </c>
      <c r="AN5" s="56">
        <v>0.7784989441615229</v>
      </c>
      <c r="AO5" s="146">
        <v>-0.666666666666667</v>
      </c>
      <c r="AP5" s="184"/>
      <c r="AQ5" s="61"/>
      <c r="AR5" s="55">
        <v>6.666666666666667</v>
      </c>
      <c r="AS5" s="219">
        <v>1.084652289093281</v>
      </c>
      <c r="AT5" s="57">
        <v>-1.333333333333333</v>
      </c>
      <c r="AU5" s="184"/>
      <c r="AV5" s="61"/>
      <c r="AW5" s="55">
        <v>5.769230769230769</v>
      </c>
      <c r="AX5" s="236">
        <v>0.8320502943378436</v>
      </c>
      <c r="AY5" s="591">
        <v>-0.23076923076923084</v>
      </c>
      <c r="AZ5" s="184"/>
      <c r="BA5" s="61"/>
      <c r="BB5" s="55">
        <v>6.1875</v>
      </c>
      <c r="BC5" s="87">
        <v>0.9810708435174292</v>
      </c>
      <c r="BD5" s="146">
        <v>1.1875</v>
      </c>
      <c r="BE5" s="590"/>
    </row>
    <row r="6" ht="52.5" customHeight="1">
      <c r="A6" s="180"/>
      <c r="B6" s="61"/>
      <c r="C6" s="53" t="s">
        <v>32</v>
      </c>
      <c r="D6" s="164"/>
      <c r="E6" s="61"/>
      <c r="F6" s="55">
        <f t="shared" si="1"/>
        <v>6.595177808</v>
      </c>
      <c r="G6" s="191"/>
      <c r="H6" s="61"/>
      <c r="I6" s="55">
        <v>7.1875</v>
      </c>
      <c r="J6" s="101">
        <v>0.9105858919765157</v>
      </c>
      <c r="K6" s="592">
        <v>1.1875</v>
      </c>
      <c r="L6" s="184"/>
      <c r="M6" s="61"/>
      <c r="N6" s="55">
        <v>5.566666666666666</v>
      </c>
      <c r="O6" s="62">
        <v>0.7286647932708021</v>
      </c>
      <c r="P6" s="146">
        <v>-1.4333333333333336</v>
      </c>
      <c r="Q6" s="184"/>
      <c r="R6" s="61"/>
      <c r="S6" s="55">
        <v>7.611111111111111</v>
      </c>
      <c r="T6" s="238">
        <v>1.1447521637192344</v>
      </c>
      <c r="U6" s="57">
        <v>-1.3888888888888893</v>
      </c>
      <c r="V6" s="184"/>
      <c r="W6" s="61"/>
      <c r="X6" s="55">
        <v>5.392857142857143</v>
      </c>
      <c r="Y6" s="189">
        <v>0.6256864362310538</v>
      </c>
      <c r="Z6" s="593">
        <v>0.39285714285714324</v>
      </c>
      <c r="AA6" s="184"/>
      <c r="AB6" s="61"/>
      <c r="AC6" s="55">
        <v>8.15625</v>
      </c>
      <c r="AD6" s="101">
        <v>0.9953014618697191</v>
      </c>
      <c r="AE6" s="57">
        <v>-0.84375</v>
      </c>
      <c r="AF6" s="184"/>
      <c r="AG6" s="61"/>
      <c r="AH6" s="55">
        <v>6.25</v>
      </c>
      <c r="AI6" s="345">
        <v>0.9309493362512627</v>
      </c>
      <c r="AJ6" s="438">
        <v>-0.75</v>
      </c>
      <c r="AK6" s="184"/>
      <c r="AL6" s="61"/>
      <c r="AM6" s="55">
        <v>6.166666666666667</v>
      </c>
      <c r="AN6" s="57">
        <v>0.7177405625652733</v>
      </c>
      <c r="AO6" s="57">
        <v>0.16666666666666696</v>
      </c>
      <c r="AP6" s="184"/>
      <c r="AQ6" s="61"/>
      <c r="AR6" s="55">
        <v>6.611111111111111</v>
      </c>
      <c r="AS6" s="148">
        <v>0.6763995415945232</v>
      </c>
      <c r="AT6" s="57">
        <v>-0.3888888888888893</v>
      </c>
      <c r="AU6" s="184"/>
      <c r="AV6" s="61"/>
      <c r="AW6" s="55">
        <v>6.384615384615385</v>
      </c>
      <c r="AX6" s="105">
        <v>0.6504436355879908</v>
      </c>
      <c r="AY6" s="66">
        <v>-0.615384615384615</v>
      </c>
      <c r="AZ6" s="184"/>
      <c r="BA6" s="61"/>
      <c r="BB6" s="55">
        <v>6.625</v>
      </c>
      <c r="BC6" s="57">
        <v>0.806225774829855</v>
      </c>
      <c r="BD6" s="243">
        <v>1.625</v>
      </c>
      <c r="BE6" s="590"/>
    </row>
    <row r="7" ht="52.5" customHeight="1">
      <c r="A7" s="180"/>
      <c r="B7" s="61"/>
      <c r="C7" s="53" t="s">
        <v>33</v>
      </c>
      <c r="D7" s="164"/>
      <c r="E7" s="61"/>
      <c r="F7" s="55">
        <f t="shared" si="1"/>
        <v>6.840201847</v>
      </c>
      <c r="G7" s="191"/>
      <c r="H7" s="61"/>
      <c r="I7" s="55">
        <v>7.453125</v>
      </c>
      <c r="J7" s="198">
        <v>0.7539824821130351</v>
      </c>
      <c r="K7" s="146">
        <v>-1.046875</v>
      </c>
      <c r="L7" s="184"/>
      <c r="M7" s="61"/>
      <c r="N7" s="55">
        <v>6.366666666666666</v>
      </c>
      <c r="O7" s="62">
        <v>0.7668736780560655</v>
      </c>
      <c r="P7" s="57">
        <v>-1.6333333333333337</v>
      </c>
      <c r="Q7" s="184"/>
      <c r="R7" s="61"/>
      <c r="S7" s="55">
        <v>6.861111111111111</v>
      </c>
      <c r="T7" s="57">
        <v>0.7236662286285829</v>
      </c>
      <c r="U7" s="57">
        <v>-0.6388888888888893</v>
      </c>
      <c r="V7" s="184"/>
      <c r="W7" s="61"/>
      <c r="X7" s="55">
        <v>5.642857142857143</v>
      </c>
      <c r="Y7" s="269">
        <v>1.0082080720186266</v>
      </c>
      <c r="Z7" s="57">
        <v>-0.35714285714285676</v>
      </c>
      <c r="AA7" s="184"/>
      <c r="AB7" s="61"/>
      <c r="AC7" s="55">
        <v>7.625</v>
      </c>
      <c r="AD7" s="134">
        <v>0.8850612031567836</v>
      </c>
      <c r="AE7" s="146">
        <v>-0.375</v>
      </c>
      <c r="AF7" s="184"/>
      <c r="AG7" s="61"/>
      <c r="AH7" s="55">
        <v>7.21875</v>
      </c>
      <c r="AI7" s="344">
        <v>0.7063698275926947</v>
      </c>
      <c r="AJ7" s="146">
        <v>-0.78125</v>
      </c>
      <c r="AK7" s="184"/>
      <c r="AL7" s="61"/>
      <c r="AM7" s="55">
        <v>7.458333333333333</v>
      </c>
      <c r="AN7" s="56">
        <v>0.7821396449755147</v>
      </c>
      <c r="AO7" s="594">
        <v>-0.541666666666667</v>
      </c>
      <c r="AP7" s="184"/>
      <c r="AQ7" s="61"/>
      <c r="AR7" s="55">
        <v>6.444444444444445</v>
      </c>
      <c r="AS7" s="219">
        <v>0.7047921864945658</v>
      </c>
      <c r="AT7" s="57">
        <v>-0.5555555555555554</v>
      </c>
      <c r="AU7" s="184"/>
      <c r="AV7" s="61"/>
      <c r="AW7" s="55">
        <v>6.769230769230769</v>
      </c>
      <c r="AX7" s="105">
        <v>1.091928428198338</v>
      </c>
      <c r="AY7" s="591">
        <v>0.7692307692307692</v>
      </c>
      <c r="AZ7" s="184"/>
      <c r="BA7" s="61"/>
      <c r="BB7" s="55">
        <v>6.5625</v>
      </c>
      <c r="BC7" s="339">
        <v>0.6291528696058958</v>
      </c>
      <c r="BD7" s="57">
        <v>0.5625</v>
      </c>
      <c r="BE7" s="595"/>
    </row>
    <row r="8" ht="52.5" customHeight="1">
      <c r="A8" s="180"/>
      <c r="B8" s="69"/>
      <c r="C8" s="53" t="s">
        <v>34</v>
      </c>
      <c r="D8" s="164"/>
      <c r="E8" s="70"/>
      <c r="F8" s="55">
        <f t="shared" si="1"/>
        <v>5.956394994</v>
      </c>
      <c r="G8" s="191"/>
      <c r="H8" s="70"/>
      <c r="I8" s="54">
        <v>6.4375</v>
      </c>
      <c r="J8" s="596">
        <v>1.0307764064044151</v>
      </c>
      <c r="K8" s="58">
        <v>-1.5625</v>
      </c>
      <c r="L8" s="184"/>
      <c r="M8" s="70"/>
      <c r="N8" s="54">
        <v>5.833333333333333</v>
      </c>
      <c r="O8" s="597">
        <v>0.9193683131575154</v>
      </c>
      <c r="P8" s="107">
        <v>-0.16666666666666696</v>
      </c>
      <c r="Q8" s="184"/>
      <c r="R8" s="70"/>
      <c r="S8" s="54">
        <v>5.888888888888889</v>
      </c>
      <c r="T8" s="598">
        <v>1.195033294583627</v>
      </c>
      <c r="U8" s="107">
        <v>-0.6111111111111107</v>
      </c>
      <c r="V8" s="184"/>
      <c r="W8" s="70"/>
      <c r="X8" s="54">
        <v>5.071428571428571</v>
      </c>
      <c r="Y8" s="476">
        <v>1.0716117059605352</v>
      </c>
      <c r="Z8" s="599">
        <v>-1.9285714285714288</v>
      </c>
      <c r="AA8" s="184"/>
      <c r="AB8" s="70"/>
      <c r="AC8" s="54">
        <v>7.03125</v>
      </c>
      <c r="AD8" s="596">
        <v>1.4197270864500684</v>
      </c>
      <c r="AE8" s="600">
        <v>-0.96875</v>
      </c>
      <c r="AF8" s="184"/>
      <c r="AG8" s="70"/>
      <c r="AH8" s="54">
        <v>5.84375</v>
      </c>
      <c r="AI8" s="601">
        <v>0.9953014618697191</v>
      </c>
      <c r="AJ8" s="602">
        <v>-1.15625</v>
      </c>
      <c r="AK8" s="184"/>
      <c r="AL8" s="70"/>
      <c r="AM8" s="54">
        <v>5.875</v>
      </c>
      <c r="AN8" s="201">
        <v>0.856127645538062</v>
      </c>
      <c r="AO8" s="58">
        <v>-0.125</v>
      </c>
      <c r="AP8" s="184"/>
      <c r="AQ8" s="70"/>
      <c r="AR8" s="54">
        <v>5.722222222222222</v>
      </c>
      <c r="AS8" s="247">
        <v>1.0740552924509195</v>
      </c>
      <c r="AT8" s="602">
        <v>1.7222222222222223</v>
      </c>
      <c r="AU8" s="184"/>
      <c r="AV8" s="70"/>
      <c r="AW8" s="54">
        <v>5.423076923076923</v>
      </c>
      <c r="AX8" s="603">
        <v>0.8125616347431192</v>
      </c>
      <c r="AY8" s="604">
        <v>-0.5769230769230766</v>
      </c>
      <c r="AZ8" s="184"/>
      <c r="BA8" s="70"/>
      <c r="BB8" s="54">
        <v>6.4375</v>
      </c>
      <c r="BC8" s="605">
        <v>1.2230426539304888</v>
      </c>
      <c r="BD8" s="602">
        <v>-1.0625</v>
      </c>
      <c r="BE8" s="595"/>
    </row>
    <row r="9" ht="52.5" customHeight="1">
      <c r="A9" s="180"/>
      <c r="B9" s="77" t="s">
        <v>35</v>
      </c>
      <c r="C9" s="78" t="s">
        <v>36</v>
      </c>
      <c r="D9" s="164"/>
      <c r="E9" s="111">
        <f>AVERAGE(F9:F14)</f>
        <v>6.794394333</v>
      </c>
      <c r="F9" s="55">
        <f t="shared" si="1"/>
        <v>6.983965965</v>
      </c>
      <c r="G9" s="191"/>
      <c r="H9" s="111">
        <f>AVERAGE(I9:I14)</f>
        <v>7.177083333</v>
      </c>
      <c r="I9" s="112">
        <v>7.5</v>
      </c>
      <c r="J9" s="251">
        <v>1.0327955589886444</v>
      </c>
      <c r="K9" s="606">
        <v>-1.5</v>
      </c>
      <c r="L9" s="184"/>
      <c r="M9" s="111">
        <f>AVERAGE(N9:N14)</f>
        <v>6.205555556</v>
      </c>
      <c r="N9" s="112">
        <v>6.433333333333334</v>
      </c>
      <c r="O9" s="607">
        <v>0.728664793270802</v>
      </c>
      <c r="P9" s="118">
        <v>-0.5666666666666664</v>
      </c>
      <c r="Q9" s="184"/>
      <c r="R9" s="111">
        <f>AVERAGE(S9:S14)</f>
        <v>6.564814815</v>
      </c>
      <c r="S9" s="112">
        <v>6.805555555555555</v>
      </c>
      <c r="T9" s="118">
        <v>0.9872553887492228</v>
      </c>
      <c r="U9" s="608">
        <v>-0.19444444444444464</v>
      </c>
      <c r="V9" s="184"/>
      <c r="W9" s="111">
        <f>AVERAGE(X9:X14)</f>
        <v>5.976190476</v>
      </c>
      <c r="X9" s="112">
        <v>5.464285714285714</v>
      </c>
      <c r="Y9" s="118">
        <v>1.0824524454696831</v>
      </c>
      <c r="Z9" s="118">
        <v>-0.5357142857142856</v>
      </c>
      <c r="AA9" s="184"/>
      <c r="AB9" s="111">
        <f>AVERAGE(AC9:AC14)</f>
        <v>6.9375</v>
      </c>
      <c r="AC9" s="112">
        <v>7.5625</v>
      </c>
      <c r="AD9" s="118">
        <v>0.963932916061417</v>
      </c>
      <c r="AE9" s="609">
        <v>-1.4375</v>
      </c>
      <c r="AF9" s="184"/>
      <c r="AG9" s="111">
        <f>AVERAGE(AH9:AH14)</f>
        <v>7.239583333</v>
      </c>
      <c r="AH9" s="112">
        <v>7.65625</v>
      </c>
      <c r="AI9" s="479">
        <v>1.2479149276559949</v>
      </c>
      <c r="AJ9" s="143">
        <v>0.65625</v>
      </c>
      <c r="AK9" s="184"/>
      <c r="AL9" s="111">
        <f>AVERAGE(AM9:AM14)</f>
        <v>7.326388889</v>
      </c>
      <c r="AM9" s="112">
        <v>7.791666666666667</v>
      </c>
      <c r="AN9" s="118">
        <v>0.9404624909956255</v>
      </c>
      <c r="AO9" s="118">
        <v>-0.20833333333333304</v>
      </c>
      <c r="AP9" s="184"/>
      <c r="AQ9" s="111">
        <f>AVERAGE(AR9:AR14)</f>
        <v>6.861111111</v>
      </c>
      <c r="AR9" s="112">
        <v>6.722222222222222</v>
      </c>
      <c r="AS9" s="251">
        <v>1.127493605332358</v>
      </c>
      <c r="AT9" s="118">
        <v>0.7222222222222223</v>
      </c>
      <c r="AU9" s="184"/>
      <c r="AV9" s="111">
        <f>AVERAGE(AW9:AW14)</f>
        <v>6.603632479</v>
      </c>
      <c r="AW9" s="112">
        <v>6.653846153846154</v>
      </c>
      <c r="AX9" s="610">
        <v>0.7467879938056768</v>
      </c>
      <c r="AY9" s="118">
        <v>0.6538461538461542</v>
      </c>
      <c r="AZ9" s="184"/>
      <c r="BA9" s="111">
        <f>AVERAGE(BB9:BB14)</f>
        <v>7.052083333</v>
      </c>
      <c r="BB9" s="112">
        <v>7.25</v>
      </c>
      <c r="BC9" s="611">
        <v>1.0801234497346435</v>
      </c>
      <c r="BD9" s="118">
        <v>0.25</v>
      </c>
      <c r="BE9" s="590"/>
    </row>
    <row r="10" ht="52.5" customHeight="1">
      <c r="A10" s="180"/>
      <c r="B10" s="61"/>
      <c r="C10" s="78" t="s">
        <v>37</v>
      </c>
      <c r="D10" s="164"/>
      <c r="E10" s="61"/>
      <c r="F10" s="55">
        <f t="shared" si="1"/>
        <v>6.656133242</v>
      </c>
      <c r="G10" s="191"/>
      <c r="H10" s="61"/>
      <c r="I10" s="55">
        <v>6.75</v>
      </c>
      <c r="J10" s="337">
        <v>0.9309493362512627</v>
      </c>
      <c r="K10" s="57">
        <v>-0.25</v>
      </c>
      <c r="L10" s="184"/>
      <c r="M10" s="61"/>
      <c r="N10" s="55">
        <v>5.8</v>
      </c>
      <c r="O10" s="57">
        <v>1.0823255385643322</v>
      </c>
      <c r="P10" s="57">
        <v>0.7999999999999998</v>
      </c>
      <c r="Q10" s="184"/>
      <c r="R10" s="61"/>
      <c r="S10" s="55">
        <v>5.722222222222222</v>
      </c>
      <c r="T10" s="94">
        <v>1.0178151661369075</v>
      </c>
      <c r="U10" s="591">
        <v>-0.2777777777777777</v>
      </c>
      <c r="V10" s="184"/>
      <c r="W10" s="61"/>
      <c r="X10" s="55">
        <v>6.321428571428571</v>
      </c>
      <c r="Y10" s="198">
        <v>1.234241325005628</v>
      </c>
      <c r="Z10" s="146">
        <v>-1.6785714285714288</v>
      </c>
      <c r="AA10" s="184"/>
      <c r="AB10" s="61"/>
      <c r="AC10" s="55">
        <v>6.1875</v>
      </c>
      <c r="AD10" s="269">
        <v>0.75</v>
      </c>
      <c r="AE10" s="57">
        <v>-1.8125</v>
      </c>
      <c r="AF10" s="184"/>
      <c r="AG10" s="61"/>
      <c r="AH10" s="55">
        <v>8.0625</v>
      </c>
      <c r="AI10" s="63">
        <v>1.4361406616345072</v>
      </c>
      <c r="AJ10" s="146">
        <v>-1.9375</v>
      </c>
      <c r="AK10" s="184"/>
      <c r="AL10" s="61"/>
      <c r="AM10" s="55">
        <v>7.625</v>
      </c>
      <c r="AN10" s="470">
        <v>1.1103848636641915</v>
      </c>
      <c r="AO10" s="66">
        <v>-0.375</v>
      </c>
      <c r="AP10" s="184"/>
      <c r="AQ10" s="61"/>
      <c r="AR10" s="55">
        <v>6.527777777777778</v>
      </c>
      <c r="AS10" s="63">
        <v>1.117668558444742</v>
      </c>
      <c r="AT10" s="612">
        <v>0.5277777777777777</v>
      </c>
      <c r="AU10" s="184"/>
      <c r="AV10" s="61"/>
      <c r="AW10" s="55">
        <v>6.346153846153846</v>
      </c>
      <c r="AX10" s="57">
        <v>1.0284416890093029</v>
      </c>
      <c r="AY10" s="57">
        <v>0.3461538461538458</v>
      </c>
      <c r="AZ10" s="184"/>
      <c r="BA10" s="61"/>
      <c r="BB10" s="55">
        <v>7.21875</v>
      </c>
      <c r="BC10" s="63">
        <v>1.4020074892809953</v>
      </c>
      <c r="BD10" s="57">
        <v>0.21875</v>
      </c>
      <c r="BE10" s="590"/>
    </row>
    <row r="11" ht="52.5" customHeight="1">
      <c r="A11" s="180"/>
      <c r="B11" s="61"/>
      <c r="C11" s="78" t="s">
        <v>38</v>
      </c>
      <c r="D11" s="164"/>
      <c r="E11" s="61"/>
      <c r="F11" s="55">
        <f t="shared" si="1"/>
        <v>6.562545024</v>
      </c>
      <c r="G11" s="191"/>
      <c r="H11" s="61"/>
      <c r="I11" s="55">
        <v>6.4375</v>
      </c>
      <c r="J11" s="63">
        <v>0.7274384280931732</v>
      </c>
      <c r="K11" s="592">
        <v>0.4375</v>
      </c>
      <c r="L11" s="184"/>
      <c r="M11" s="61"/>
      <c r="N11" s="55">
        <v>6.266666666666667</v>
      </c>
      <c r="O11" s="130">
        <v>0.9611501047232549</v>
      </c>
      <c r="P11" s="57">
        <v>-1.7333333333333334</v>
      </c>
      <c r="Q11" s="184"/>
      <c r="R11" s="61"/>
      <c r="S11" s="55">
        <v>6.722222222222222</v>
      </c>
      <c r="T11" s="57">
        <v>1.0740552924509195</v>
      </c>
      <c r="U11" s="57">
        <v>-1.2777777777777777</v>
      </c>
      <c r="V11" s="184"/>
      <c r="W11" s="61"/>
      <c r="X11" s="55">
        <v>6.214285714285714</v>
      </c>
      <c r="Y11" s="56">
        <v>0.892582375303981</v>
      </c>
      <c r="Z11" s="146">
        <v>0.2142857142857144</v>
      </c>
      <c r="AA11" s="184"/>
      <c r="AB11" s="61"/>
      <c r="AC11" s="55">
        <v>6.4375</v>
      </c>
      <c r="AD11" s="57">
        <v>1.0307764064044151</v>
      </c>
      <c r="AE11" s="57">
        <v>-1.5625</v>
      </c>
      <c r="AF11" s="184"/>
      <c r="AG11" s="61"/>
      <c r="AH11" s="55">
        <v>6.65625</v>
      </c>
      <c r="AI11" s="270">
        <v>0.9437293044088437</v>
      </c>
      <c r="AJ11" s="185">
        <v>0.65625</v>
      </c>
      <c r="AK11" s="184"/>
      <c r="AL11" s="61"/>
      <c r="AM11" s="55">
        <v>6.916666666666667</v>
      </c>
      <c r="AN11" s="57">
        <v>0.90033663737852</v>
      </c>
      <c r="AO11" s="57">
        <v>-1.083333333333333</v>
      </c>
      <c r="AP11" s="184"/>
      <c r="AQ11" s="61"/>
      <c r="AR11" s="55">
        <v>6.666666666666667</v>
      </c>
      <c r="AS11" s="189">
        <v>0.8401680504168059</v>
      </c>
      <c r="AT11" s="57">
        <v>0.666666666666667</v>
      </c>
      <c r="AU11" s="184"/>
      <c r="AV11" s="61"/>
      <c r="AW11" s="55">
        <v>6.3076923076923075</v>
      </c>
      <c r="AX11" s="337">
        <v>0.7510676161988107</v>
      </c>
      <c r="AY11" s="66">
        <v>0.3076923076923075</v>
      </c>
      <c r="AZ11" s="184"/>
      <c r="BA11" s="61"/>
      <c r="BB11" s="55">
        <v>7.0</v>
      </c>
      <c r="BC11" s="94">
        <v>0.816496580927726</v>
      </c>
      <c r="BD11" s="57">
        <v>1.0</v>
      </c>
      <c r="BE11" s="590"/>
    </row>
    <row r="12" ht="52.5" customHeight="1">
      <c r="A12" s="180"/>
      <c r="B12" s="61"/>
      <c r="C12" s="78" t="s">
        <v>39</v>
      </c>
      <c r="D12" s="164"/>
      <c r="E12" s="61"/>
      <c r="F12" s="55">
        <f t="shared" si="1"/>
        <v>6.474946581</v>
      </c>
      <c r="G12" s="191"/>
      <c r="H12" s="61"/>
      <c r="I12" s="55">
        <v>6.625</v>
      </c>
      <c r="J12" s="87">
        <v>0.806225774829855</v>
      </c>
      <c r="K12" s="613">
        <v>-1.375</v>
      </c>
      <c r="L12" s="184"/>
      <c r="M12" s="61"/>
      <c r="N12" s="55">
        <v>6.0</v>
      </c>
      <c r="O12" s="269">
        <v>0.8660254037844386</v>
      </c>
      <c r="P12" s="57">
        <v>-1.0</v>
      </c>
      <c r="Q12" s="184"/>
      <c r="R12" s="61"/>
      <c r="S12" s="55">
        <v>6.555555555555555</v>
      </c>
      <c r="T12" s="241">
        <v>0.9835244081556435</v>
      </c>
      <c r="U12" s="57">
        <v>-1.4444444444444446</v>
      </c>
      <c r="V12" s="184"/>
      <c r="W12" s="61"/>
      <c r="X12" s="55">
        <v>5.5</v>
      </c>
      <c r="Y12" s="237">
        <v>1.3445044840729643</v>
      </c>
      <c r="Z12" s="614">
        <v>-0.5</v>
      </c>
      <c r="AA12" s="184"/>
      <c r="AB12" s="61"/>
      <c r="AC12" s="55">
        <v>6.46875</v>
      </c>
      <c r="AD12" s="189">
        <v>0.8459462157844315</v>
      </c>
      <c r="AE12" s="146">
        <v>-0.53125</v>
      </c>
      <c r="AF12" s="184"/>
      <c r="AG12" s="61"/>
      <c r="AH12" s="55">
        <v>6.8125</v>
      </c>
      <c r="AI12" s="339">
        <v>1.0468205831628137</v>
      </c>
      <c r="AJ12" s="57">
        <v>-0.1875</v>
      </c>
      <c r="AK12" s="184"/>
      <c r="AL12" s="61"/>
      <c r="AM12" s="55">
        <v>6.916666666666667</v>
      </c>
      <c r="AN12" s="56">
        <v>1.1645001528813153</v>
      </c>
      <c r="AO12" s="57">
        <v>-0.08333333333333304</v>
      </c>
      <c r="AP12" s="184"/>
      <c r="AQ12" s="61"/>
      <c r="AR12" s="55">
        <v>6.666666666666667</v>
      </c>
      <c r="AS12" s="615">
        <v>0.8401680504168059</v>
      </c>
      <c r="AT12" s="144">
        <v>0.666666666666667</v>
      </c>
      <c r="AU12" s="184"/>
      <c r="AV12" s="61"/>
      <c r="AW12" s="55">
        <v>6.423076923076923</v>
      </c>
      <c r="AX12" s="86">
        <v>0.4935481167928245</v>
      </c>
      <c r="AY12" s="57">
        <v>0.42307692307692335</v>
      </c>
      <c r="AZ12" s="184"/>
      <c r="BA12" s="61"/>
      <c r="BB12" s="55">
        <v>6.78125</v>
      </c>
      <c r="BC12" s="529">
        <v>0.875</v>
      </c>
      <c r="BD12" s="57">
        <v>1.78125</v>
      </c>
      <c r="BE12" s="590"/>
    </row>
    <row r="13" ht="52.5" customHeight="1">
      <c r="A13" s="180"/>
      <c r="B13" s="61"/>
      <c r="C13" s="78" t="s">
        <v>40</v>
      </c>
      <c r="D13" s="164"/>
      <c r="E13" s="61"/>
      <c r="F13" s="55">
        <f t="shared" si="1"/>
        <v>6.895605159</v>
      </c>
      <c r="G13" s="191"/>
      <c r="H13" s="61"/>
      <c r="I13" s="55">
        <v>7.3125</v>
      </c>
      <c r="J13" s="105">
        <v>1.138346754435279</v>
      </c>
      <c r="K13" s="57">
        <v>-0.6875</v>
      </c>
      <c r="L13" s="184"/>
      <c r="M13" s="61"/>
      <c r="N13" s="55">
        <v>6.733333333333333</v>
      </c>
      <c r="O13" s="148">
        <v>0.7988086367179803</v>
      </c>
      <c r="P13" s="57">
        <v>-1.2666666666666666</v>
      </c>
      <c r="Q13" s="184"/>
      <c r="R13" s="61"/>
      <c r="S13" s="55">
        <v>6.666666666666667</v>
      </c>
      <c r="T13" s="198">
        <v>0.9074852129730301</v>
      </c>
      <c r="U13" s="57">
        <v>-0.33333333333333304</v>
      </c>
      <c r="V13" s="184"/>
      <c r="W13" s="61"/>
      <c r="X13" s="55">
        <v>6.642857142857143</v>
      </c>
      <c r="Y13" s="134">
        <v>0.9287827316640649</v>
      </c>
      <c r="Z13" s="57">
        <v>-0.35714285714285676</v>
      </c>
      <c r="AA13" s="184"/>
      <c r="AB13" s="61"/>
      <c r="AC13" s="55">
        <v>7.0</v>
      </c>
      <c r="AD13" s="101">
        <v>0.816496580927726</v>
      </c>
      <c r="AE13" s="57">
        <v>0.0</v>
      </c>
      <c r="AF13" s="184"/>
      <c r="AG13" s="61"/>
      <c r="AH13" s="55">
        <v>6.5625</v>
      </c>
      <c r="AI13" s="65">
        <v>1.631716887208072</v>
      </c>
      <c r="AJ13" s="57">
        <v>-0.4375</v>
      </c>
      <c r="AK13" s="184"/>
      <c r="AL13" s="61"/>
      <c r="AM13" s="55">
        <v>7.083333333333333</v>
      </c>
      <c r="AN13" s="57">
        <v>0.996204919895622</v>
      </c>
      <c r="AO13" s="57">
        <v>0.08333333333333304</v>
      </c>
      <c r="AP13" s="184"/>
      <c r="AQ13" s="61"/>
      <c r="AR13" s="55">
        <v>7.277777777777778</v>
      </c>
      <c r="AS13" s="219">
        <v>0.9582800496696</v>
      </c>
      <c r="AT13" s="57">
        <v>0.2777777777777777</v>
      </c>
      <c r="AU13" s="184"/>
      <c r="AV13" s="61"/>
      <c r="AW13" s="55">
        <v>7.083333333333333</v>
      </c>
      <c r="AX13" s="57">
        <v>0.6685579234215214</v>
      </c>
      <c r="AY13" s="57">
        <v>1.083333333333333</v>
      </c>
      <c r="AZ13" s="184"/>
      <c r="BA13" s="61"/>
      <c r="BB13" s="55">
        <v>6.59375</v>
      </c>
      <c r="BC13" s="57">
        <v>1.083493577892058</v>
      </c>
      <c r="BD13" s="68">
        <v>0.59375</v>
      </c>
      <c r="BE13" s="590"/>
    </row>
    <row r="14" ht="52.5" customHeight="1">
      <c r="A14" s="180"/>
      <c r="B14" s="69"/>
      <c r="C14" s="78" t="s">
        <v>41</v>
      </c>
      <c r="D14" s="164"/>
      <c r="E14" s="70"/>
      <c r="F14" s="55">
        <f t="shared" si="1"/>
        <v>7.193170024</v>
      </c>
      <c r="G14" s="191"/>
      <c r="H14" s="70"/>
      <c r="I14" s="71">
        <v>8.4375</v>
      </c>
      <c r="J14" s="616">
        <v>0.6291528696058958</v>
      </c>
      <c r="K14" s="76">
        <v>-0.5625</v>
      </c>
      <c r="L14" s="184"/>
      <c r="M14" s="70"/>
      <c r="N14" s="71">
        <v>6.0</v>
      </c>
      <c r="O14" s="222">
        <v>0.5345224838248488</v>
      </c>
      <c r="P14" s="228">
        <v>0.0</v>
      </c>
      <c r="Q14" s="184"/>
      <c r="R14" s="70"/>
      <c r="S14" s="71">
        <v>6.916666666666667</v>
      </c>
      <c r="T14" s="617">
        <v>0.9432422182837986</v>
      </c>
      <c r="U14" s="76">
        <v>-1.583333333333333</v>
      </c>
      <c r="V14" s="184"/>
      <c r="W14" s="70"/>
      <c r="X14" s="71">
        <v>5.714285714285714</v>
      </c>
      <c r="Y14" s="76">
        <v>0.8254203058555568</v>
      </c>
      <c r="Z14" s="76">
        <v>-0.2857142857142856</v>
      </c>
      <c r="AA14" s="184"/>
      <c r="AB14" s="70"/>
      <c r="AC14" s="71">
        <v>7.96875</v>
      </c>
      <c r="AD14" s="618">
        <v>0.6944722216666889</v>
      </c>
      <c r="AE14" s="76">
        <v>-1.03125</v>
      </c>
      <c r="AF14" s="184"/>
      <c r="AG14" s="70"/>
      <c r="AH14" s="71">
        <v>7.6875</v>
      </c>
      <c r="AI14" s="222">
        <v>1.1954775893619531</v>
      </c>
      <c r="AJ14" s="366">
        <v>-0.3125</v>
      </c>
      <c r="AK14" s="184"/>
      <c r="AL14" s="70"/>
      <c r="AM14" s="71">
        <v>7.625</v>
      </c>
      <c r="AN14" s="76">
        <v>1.0252494153309055</v>
      </c>
      <c r="AO14" s="370">
        <v>-1.375</v>
      </c>
      <c r="AP14" s="184"/>
      <c r="AQ14" s="70"/>
      <c r="AR14" s="71">
        <v>7.305555555555555</v>
      </c>
      <c r="AS14" s="619">
        <v>1.1132740385760014</v>
      </c>
      <c r="AT14" s="620">
        <v>1.3055555555555554</v>
      </c>
      <c r="AU14" s="184"/>
      <c r="AV14" s="70"/>
      <c r="AW14" s="71">
        <v>6.8076923076923075</v>
      </c>
      <c r="AX14" s="621">
        <v>0.8046340145904206</v>
      </c>
      <c r="AY14" s="76">
        <v>0.8076923076923075</v>
      </c>
      <c r="AZ14" s="184"/>
      <c r="BA14" s="70"/>
      <c r="BB14" s="71">
        <v>7.46875</v>
      </c>
      <c r="BC14" s="222">
        <v>1.231107225224513</v>
      </c>
      <c r="BD14" s="622">
        <v>2.46875</v>
      </c>
      <c r="BE14" s="590"/>
    </row>
    <row r="15" ht="52.5" customHeight="1">
      <c r="A15" s="180"/>
      <c r="B15" s="95" t="s">
        <v>42</v>
      </c>
      <c r="C15" s="96" t="s">
        <v>43</v>
      </c>
      <c r="D15" s="164"/>
      <c r="E15" s="79">
        <f>AVERAGE(F15:F20)</f>
        <v>6.802621312</v>
      </c>
      <c r="F15" s="55">
        <f t="shared" si="1"/>
        <v>6.905961386</v>
      </c>
      <c r="G15" s="191"/>
      <c r="H15" s="79">
        <f>AVERAGE(I15:I20)</f>
        <v>7.789409722</v>
      </c>
      <c r="I15" s="80">
        <v>7.8125</v>
      </c>
      <c r="J15" s="81">
        <v>0.8341662504161466</v>
      </c>
      <c r="K15" s="81">
        <v>-1.1875</v>
      </c>
      <c r="L15" s="184"/>
      <c r="M15" s="79">
        <f>AVERAGE(N15:N20)</f>
        <v>5.928333333</v>
      </c>
      <c r="N15" s="80">
        <v>5.92</v>
      </c>
      <c r="O15" s="210">
        <v>0.799285395123133</v>
      </c>
      <c r="P15" s="277">
        <v>-1.08</v>
      </c>
      <c r="Q15" s="184"/>
      <c r="R15" s="79">
        <f>AVERAGE(S15:S20)</f>
        <v>6.668981481</v>
      </c>
      <c r="S15" s="80">
        <v>6.555555555555555</v>
      </c>
      <c r="T15" s="623">
        <v>1.2935233335271095</v>
      </c>
      <c r="U15" s="279">
        <v>-0.44444444444444464</v>
      </c>
      <c r="V15" s="184"/>
      <c r="W15" s="79">
        <f>AVERAGE(X15:X20)</f>
        <v>6.279761905</v>
      </c>
      <c r="X15" s="80">
        <v>6.535714285714286</v>
      </c>
      <c r="Y15" s="624">
        <v>1.0824524454696831</v>
      </c>
      <c r="Z15" s="625">
        <v>1.5357142857142856</v>
      </c>
      <c r="AA15" s="184"/>
      <c r="AB15" s="79">
        <f>AVERAGE(AC15:AC20)</f>
        <v>6.947916667</v>
      </c>
      <c r="AC15" s="80">
        <v>6.875</v>
      </c>
      <c r="AD15" s="210">
        <v>0.806225774829855</v>
      </c>
      <c r="AE15" s="382">
        <v>-1.125</v>
      </c>
      <c r="AF15" s="184"/>
      <c r="AG15" s="79">
        <f>AVERAGE(AH15:AH20)</f>
        <v>6.901041667</v>
      </c>
      <c r="AH15" s="80">
        <v>6.875</v>
      </c>
      <c r="AI15" s="626">
        <v>0.9746794344808963</v>
      </c>
      <c r="AJ15" s="81">
        <v>-1.125</v>
      </c>
      <c r="AK15" s="184"/>
      <c r="AL15" s="79">
        <f>AVERAGE(AM15:AM20)</f>
        <v>6.947916667</v>
      </c>
      <c r="AM15" s="80">
        <v>7.333333333333333</v>
      </c>
      <c r="AN15" s="627">
        <v>1.2309149097933274</v>
      </c>
      <c r="AO15" s="628">
        <v>-0.666666666666667</v>
      </c>
      <c r="AP15" s="184"/>
      <c r="AQ15" s="79">
        <f>AVERAGE(AR15:AR20)</f>
        <v>6.93287037</v>
      </c>
      <c r="AR15" s="80">
        <v>6.972222222222222</v>
      </c>
      <c r="AS15" s="99">
        <v>1.2422965240210453</v>
      </c>
      <c r="AT15" s="81">
        <v>-0.02777777777777768</v>
      </c>
      <c r="AU15" s="184"/>
      <c r="AV15" s="79">
        <f>AVERAGE(AW15:AW20)</f>
        <v>6.692307692</v>
      </c>
      <c r="AW15" s="80">
        <v>6.961538461538462</v>
      </c>
      <c r="AX15" s="263">
        <v>0.7205766921228921</v>
      </c>
      <c r="AY15" s="81">
        <v>-0.038461538461538325</v>
      </c>
      <c r="AZ15" s="184"/>
      <c r="BA15" s="79">
        <f>AVERAGE(BB15:BB20)</f>
        <v>6.937673611</v>
      </c>
      <c r="BB15" s="80">
        <v>7.21875</v>
      </c>
      <c r="BC15" s="624">
        <v>0.875</v>
      </c>
      <c r="BD15" s="629">
        <v>0.21875</v>
      </c>
      <c r="BE15" s="590"/>
    </row>
    <row r="16" ht="52.5" customHeight="1">
      <c r="A16" s="180"/>
      <c r="B16" s="61"/>
      <c r="C16" s="96" t="s">
        <v>44</v>
      </c>
      <c r="D16" s="164"/>
      <c r="E16" s="61"/>
      <c r="F16" s="55">
        <f t="shared" si="1"/>
        <v>6.661661325</v>
      </c>
      <c r="G16" s="191"/>
      <c r="H16" s="61"/>
      <c r="I16" s="55">
        <v>8.5</v>
      </c>
      <c r="J16" s="337">
        <v>0.6582805886043833</v>
      </c>
      <c r="K16" s="66">
        <v>-1.0</v>
      </c>
      <c r="L16" s="184"/>
      <c r="M16" s="61"/>
      <c r="N16" s="55">
        <v>5.4</v>
      </c>
      <c r="O16" s="60">
        <v>1.0555973258234952</v>
      </c>
      <c r="P16" s="57">
        <v>1.4000000000000004</v>
      </c>
      <c r="Q16" s="184"/>
      <c r="R16" s="61"/>
      <c r="S16" s="55">
        <v>6.541666666666667</v>
      </c>
      <c r="T16" s="236">
        <v>0.8412613079390341</v>
      </c>
      <c r="U16" s="536">
        <v>0.541666666666667</v>
      </c>
      <c r="V16" s="184"/>
      <c r="W16" s="61"/>
      <c r="X16" s="55">
        <v>5.75</v>
      </c>
      <c r="Y16" s="101">
        <v>0.8933515114874565</v>
      </c>
      <c r="Z16" s="57">
        <v>0.75</v>
      </c>
      <c r="AA16" s="184"/>
      <c r="AB16" s="61"/>
      <c r="AC16" s="55">
        <v>7.125</v>
      </c>
      <c r="AD16" s="134">
        <v>0.7852812659593165</v>
      </c>
      <c r="AE16" s="57">
        <v>-1.875</v>
      </c>
      <c r="AF16" s="184"/>
      <c r="AG16" s="61"/>
      <c r="AH16" s="55">
        <v>6.65625</v>
      </c>
      <c r="AI16" s="134">
        <v>1.0119082632992644</v>
      </c>
      <c r="AJ16" s="146">
        <v>-1.34375</v>
      </c>
      <c r="AK16" s="184"/>
      <c r="AL16" s="61"/>
      <c r="AM16" s="55">
        <v>6.583333333333333</v>
      </c>
      <c r="AN16" s="238">
        <v>0.5149286505444371</v>
      </c>
      <c r="AO16" s="630">
        <v>-0.41666666666666696</v>
      </c>
      <c r="AP16" s="184"/>
      <c r="AQ16" s="61"/>
      <c r="AR16" s="55">
        <v>6.805555555555555</v>
      </c>
      <c r="AS16" s="86">
        <v>1.0451412638671906</v>
      </c>
      <c r="AT16" s="57">
        <v>0.8055555555555554</v>
      </c>
      <c r="AU16" s="184"/>
      <c r="AV16" s="61"/>
      <c r="AW16" s="55">
        <v>6.6923076923076925</v>
      </c>
      <c r="AX16" s="65">
        <v>1.031553471276484</v>
      </c>
      <c r="AY16" s="57">
        <v>0.6923076923076925</v>
      </c>
      <c r="AZ16" s="184"/>
      <c r="BA16" s="61"/>
      <c r="BB16" s="55">
        <v>6.5625</v>
      </c>
      <c r="BC16" s="63">
        <v>1.0307764064044151</v>
      </c>
      <c r="BD16" s="185">
        <v>0.5625</v>
      </c>
      <c r="BE16" s="590"/>
    </row>
    <row r="17" ht="52.5" customHeight="1">
      <c r="A17" s="180"/>
      <c r="B17" s="61"/>
      <c r="C17" s="96" t="s">
        <v>45</v>
      </c>
      <c r="D17" s="164"/>
      <c r="E17" s="61"/>
      <c r="F17" s="55">
        <f t="shared" si="1"/>
        <v>6.721260302</v>
      </c>
      <c r="G17" s="191"/>
      <c r="H17" s="61"/>
      <c r="I17" s="55">
        <v>8.033333333333333</v>
      </c>
      <c r="J17" s="269">
        <v>1.1720962092804172</v>
      </c>
      <c r="K17" s="631">
        <v>-1.9666666666666668</v>
      </c>
      <c r="L17" s="184"/>
      <c r="M17" s="61"/>
      <c r="N17" s="55">
        <v>5.85</v>
      </c>
      <c r="O17" s="236">
        <v>0.9901298616126789</v>
      </c>
      <c r="P17" s="57">
        <v>-2.1500000000000004</v>
      </c>
      <c r="Q17" s="184"/>
      <c r="R17" s="61"/>
      <c r="S17" s="55">
        <v>6.666666666666667</v>
      </c>
      <c r="T17" s="241">
        <v>1.137592917989042</v>
      </c>
      <c r="U17" s="57">
        <v>-0.33333333333333304</v>
      </c>
      <c r="V17" s="184"/>
      <c r="W17" s="61"/>
      <c r="X17" s="55">
        <v>5.964285714285714</v>
      </c>
      <c r="Y17" s="136">
        <v>0.9700175596008898</v>
      </c>
      <c r="Z17" s="57">
        <v>-2.0357142857142856</v>
      </c>
      <c r="AA17" s="184"/>
      <c r="AB17" s="61"/>
      <c r="AC17" s="55">
        <v>7.4375</v>
      </c>
      <c r="AD17" s="57">
        <v>1.0935416468216166</v>
      </c>
      <c r="AE17" s="92">
        <v>-1.5625</v>
      </c>
      <c r="AF17" s="184"/>
      <c r="AG17" s="61"/>
      <c r="AH17" s="55">
        <v>6.6875</v>
      </c>
      <c r="AI17" s="57">
        <v>0.7932002689527196</v>
      </c>
      <c r="AJ17" s="283">
        <v>-0.3125</v>
      </c>
      <c r="AK17" s="184"/>
      <c r="AL17" s="61"/>
      <c r="AM17" s="55">
        <v>6.979166666666667</v>
      </c>
      <c r="AN17" s="337">
        <v>0.7720864098288638</v>
      </c>
      <c r="AO17" s="632">
        <v>-0.020833333333333037</v>
      </c>
      <c r="AP17" s="184"/>
      <c r="AQ17" s="61"/>
      <c r="AR17" s="55">
        <v>6.583333333333333</v>
      </c>
      <c r="AS17" s="63">
        <v>0.9115274833712785</v>
      </c>
      <c r="AT17" s="57">
        <v>-0.41666666666666696</v>
      </c>
      <c r="AU17" s="184"/>
      <c r="AV17" s="61"/>
      <c r="AW17" s="55">
        <v>6.3076923076923075</v>
      </c>
      <c r="AX17" s="57">
        <v>0.7510676161988108</v>
      </c>
      <c r="AY17" s="57">
        <v>0.3076923076923075</v>
      </c>
      <c r="AZ17" s="184"/>
      <c r="BA17" s="61"/>
      <c r="BB17" s="55">
        <v>6.703125</v>
      </c>
      <c r="BC17" s="121">
        <v>0.8427076895341588</v>
      </c>
      <c r="BD17" s="528">
        <v>0.453125</v>
      </c>
      <c r="BE17" s="590"/>
    </row>
    <row r="18" ht="52.5" customHeight="1">
      <c r="A18" s="180"/>
      <c r="B18" s="61"/>
      <c r="C18" s="96" t="s">
        <v>46</v>
      </c>
      <c r="D18" s="164"/>
      <c r="E18" s="61"/>
      <c r="F18" s="55">
        <f t="shared" si="1"/>
        <v>6.665915369</v>
      </c>
      <c r="G18" s="191"/>
      <c r="H18" s="61"/>
      <c r="I18" s="55">
        <v>7.578125</v>
      </c>
      <c r="J18" s="269">
        <v>0.9386104534541118</v>
      </c>
      <c r="K18" s="631">
        <v>0.578125</v>
      </c>
      <c r="L18" s="184"/>
      <c r="M18" s="61"/>
      <c r="N18" s="55">
        <v>5.866666666666666</v>
      </c>
      <c r="O18" s="236">
        <v>0.5163977794943222</v>
      </c>
      <c r="P18" s="57">
        <v>-1.1333333333333337</v>
      </c>
      <c r="Q18" s="184"/>
      <c r="R18" s="61"/>
      <c r="S18" s="55">
        <v>6.305555555555555</v>
      </c>
      <c r="T18" s="241">
        <v>0.8425955852373295</v>
      </c>
      <c r="U18" s="57">
        <v>-1.1944444444444446</v>
      </c>
      <c r="V18" s="184"/>
      <c r="W18" s="61"/>
      <c r="X18" s="55">
        <v>5.678571428571429</v>
      </c>
      <c r="Y18" s="136">
        <v>0.9924162986822161</v>
      </c>
      <c r="Z18" s="57">
        <v>0.6785714285714288</v>
      </c>
      <c r="AA18" s="184"/>
      <c r="AB18" s="61"/>
      <c r="AC18" s="55">
        <v>6.84375</v>
      </c>
      <c r="AD18" s="57">
        <v>0.9259004626128376</v>
      </c>
      <c r="AE18" s="92">
        <v>-1.15625</v>
      </c>
      <c r="AF18" s="184"/>
      <c r="AG18" s="61"/>
      <c r="AH18" s="55">
        <v>7.15625</v>
      </c>
      <c r="AI18" s="57">
        <v>0.9953014618697191</v>
      </c>
      <c r="AJ18" s="283">
        <v>-0.84375</v>
      </c>
      <c r="AK18" s="184"/>
      <c r="AL18" s="61"/>
      <c r="AM18" s="55">
        <v>6.895833333333333</v>
      </c>
      <c r="AN18" s="337">
        <v>0.938194187433142</v>
      </c>
      <c r="AO18" s="632">
        <v>0.895833333333333</v>
      </c>
      <c r="AP18" s="184"/>
      <c r="AQ18" s="61"/>
      <c r="AR18" s="55">
        <v>6.930555555555555</v>
      </c>
      <c r="AS18" s="63">
        <v>1.1813674639871035</v>
      </c>
      <c r="AT18" s="57">
        <v>-1.0694444444444446</v>
      </c>
      <c r="AU18" s="184"/>
      <c r="AV18" s="61"/>
      <c r="AW18" s="55">
        <v>6.653846153846154</v>
      </c>
      <c r="AX18" s="57">
        <v>0.7467879938056768</v>
      </c>
      <c r="AY18" s="57">
        <v>-0.3461538461538458</v>
      </c>
      <c r="AZ18" s="184"/>
      <c r="BA18" s="61"/>
      <c r="BB18" s="55">
        <v>6.75</v>
      </c>
      <c r="BC18" s="121">
        <v>1.0645812948447542</v>
      </c>
      <c r="BD18" s="528">
        <v>1.75</v>
      </c>
      <c r="BE18" s="590"/>
    </row>
    <row r="19" ht="52.5" customHeight="1">
      <c r="A19" s="180"/>
      <c r="B19" s="61"/>
      <c r="C19" s="96" t="s">
        <v>47</v>
      </c>
      <c r="D19" s="164"/>
      <c r="E19" s="61"/>
      <c r="F19" s="55">
        <f t="shared" si="1"/>
        <v>6.684656593</v>
      </c>
      <c r="G19" s="191"/>
      <c r="H19" s="61"/>
      <c r="I19" s="55">
        <v>7.0</v>
      </c>
      <c r="J19" s="269">
        <v>1.1105554165971787</v>
      </c>
      <c r="K19" s="57">
        <v>2.0</v>
      </c>
      <c r="L19" s="184"/>
      <c r="M19" s="61"/>
      <c r="N19" s="55">
        <v>6.333333333333333</v>
      </c>
      <c r="O19" s="236">
        <v>0.6986381310057718</v>
      </c>
      <c r="P19" s="633">
        <v>-0.666666666666667</v>
      </c>
      <c r="Q19" s="184"/>
      <c r="R19" s="61"/>
      <c r="S19" s="55">
        <v>6.527777777777778</v>
      </c>
      <c r="T19" s="496">
        <v>0.9467004964957816</v>
      </c>
      <c r="U19" s="57">
        <v>-1.4722222222222223</v>
      </c>
      <c r="V19" s="184"/>
      <c r="W19" s="61"/>
      <c r="X19" s="55">
        <v>7.107142857142857</v>
      </c>
      <c r="Y19" s="634">
        <v>1.243112895247117</v>
      </c>
      <c r="Z19" s="57">
        <v>0.10714285714285676</v>
      </c>
      <c r="AA19" s="184"/>
      <c r="AB19" s="61"/>
      <c r="AC19" s="55">
        <v>6.375</v>
      </c>
      <c r="AD19" s="94">
        <v>0.7187952884282609</v>
      </c>
      <c r="AE19" s="146">
        <v>-0.625</v>
      </c>
      <c r="AF19" s="184"/>
      <c r="AG19" s="61"/>
      <c r="AH19" s="55">
        <v>7.0</v>
      </c>
      <c r="AI19" s="132">
        <v>1.2516655570345725</v>
      </c>
      <c r="AJ19" s="146">
        <v>-1.0</v>
      </c>
      <c r="AK19" s="184"/>
      <c r="AL19" s="61"/>
      <c r="AM19" s="55">
        <v>6.354166666666667</v>
      </c>
      <c r="AN19" s="57">
        <v>1.036045438923965</v>
      </c>
      <c r="AO19" s="57">
        <v>-0.645833333333333</v>
      </c>
      <c r="AP19" s="184"/>
      <c r="AQ19" s="61"/>
      <c r="AR19" s="55">
        <v>6.805555555555555</v>
      </c>
      <c r="AS19" s="130">
        <v>0.7884998580493155</v>
      </c>
      <c r="AT19" s="57">
        <v>-1.1944444444444446</v>
      </c>
      <c r="AU19" s="184"/>
      <c r="AV19" s="61"/>
      <c r="AW19" s="55">
        <v>6.576923076923077</v>
      </c>
      <c r="AX19" s="119">
        <v>0.6405126152203485</v>
      </c>
      <c r="AY19" s="57">
        <v>0.5769230769230766</v>
      </c>
      <c r="AZ19" s="184"/>
      <c r="BA19" s="61"/>
      <c r="BB19" s="55">
        <v>6.766666666666667</v>
      </c>
      <c r="BC19" s="63">
        <v>1.3210745986650774</v>
      </c>
      <c r="BD19" s="185">
        <v>0.2666666666666666</v>
      </c>
      <c r="BE19" s="590"/>
    </row>
    <row r="20" ht="52.5" customHeight="1">
      <c r="A20" s="180"/>
      <c r="B20" s="61"/>
      <c r="C20" s="96" t="s">
        <v>48</v>
      </c>
      <c r="D20" s="164"/>
      <c r="E20" s="70"/>
      <c r="F20" s="55">
        <f t="shared" si="1"/>
        <v>7.176272894</v>
      </c>
      <c r="G20" s="191"/>
      <c r="H20" s="70"/>
      <c r="I20" s="54">
        <v>7.8125</v>
      </c>
      <c r="J20" s="635">
        <v>0.8341662504161466</v>
      </c>
      <c r="K20" s="636">
        <v>-0.1875</v>
      </c>
      <c r="L20" s="184"/>
      <c r="M20" s="70"/>
      <c r="N20" s="54">
        <v>6.2</v>
      </c>
      <c r="O20" s="637">
        <v>0.8823669466675578</v>
      </c>
      <c r="P20" s="107">
        <v>-0.7999999999999998</v>
      </c>
      <c r="Q20" s="184"/>
      <c r="R20" s="70"/>
      <c r="S20" s="54">
        <v>7.416666666666667</v>
      </c>
      <c r="T20" s="638">
        <v>0.9432422182837985</v>
      </c>
      <c r="U20" s="107">
        <v>-1.583333333333333</v>
      </c>
      <c r="V20" s="184"/>
      <c r="W20" s="70"/>
      <c r="X20" s="54">
        <v>6.642857142857143</v>
      </c>
      <c r="Y20" s="201">
        <v>1.3926810257774174</v>
      </c>
      <c r="Z20" s="107">
        <v>0.6428571428571432</v>
      </c>
      <c r="AA20" s="184"/>
      <c r="AB20" s="70"/>
      <c r="AC20" s="54">
        <v>7.03125</v>
      </c>
      <c r="AD20" s="107">
        <v>0.6944722216666889</v>
      </c>
      <c r="AE20" s="107">
        <v>-0.96875</v>
      </c>
      <c r="AF20" s="184"/>
      <c r="AG20" s="70"/>
      <c r="AH20" s="54">
        <v>7.03125</v>
      </c>
      <c r="AI20" s="639">
        <v>1.3474512978211866</v>
      </c>
      <c r="AJ20" s="640">
        <v>0.03125</v>
      </c>
      <c r="AK20" s="184"/>
      <c r="AL20" s="70"/>
      <c r="AM20" s="54">
        <v>7.541666666666667</v>
      </c>
      <c r="AN20" s="107">
        <v>0.7525210155124431</v>
      </c>
      <c r="AO20" s="58">
        <v>-0.45833333333333304</v>
      </c>
      <c r="AP20" s="184"/>
      <c r="AQ20" s="70"/>
      <c r="AR20" s="54">
        <v>7.5</v>
      </c>
      <c r="AS20" s="641">
        <v>1.3060943124220303</v>
      </c>
      <c r="AT20" s="107">
        <v>-0.5</v>
      </c>
      <c r="AU20" s="184"/>
      <c r="AV20" s="70"/>
      <c r="AW20" s="54">
        <v>6.961538461538462</v>
      </c>
      <c r="AX20" s="107">
        <v>1.1629978944796515</v>
      </c>
      <c r="AY20" s="58">
        <v>-0.038461538461538325</v>
      </c>
      <c r="AZ20" s="184"/>
      <c r="BA20" s="70"/>
      <c r="BB20" s="54">
        <v>7.625</v>
      </c>
      <c r="BC20" s="107">
        <v>0.9574271077563381</v>
      </c>
      <c r="BD20" s="107">
        <v>0.625</v>
      </c>
      <c r="BE20" s="590"/>
    </row>
    <row r="21" ht="52.5" customHeight="1">
      <c r="A21" s="180"/>
      <c r="B21" s="109" t="s">
        <v>49</v>
      </c>
      <c r="C21" s="110" t="s">
        <v>50</v>
      </c>
      <c r="D21" s="164"/>
      <c r="E21" s="111">
        <f>AVERAGE(F21:F24)</f>
        <v>7.643721339</v>
      </c>
      <c r="F21" s="55">
        <f t="shared" si="1"/>
        <v>7.747643697</v>
      </c>
      <c r="G21" s="191"/>
      <c r="H21" s="111">
        <f>AVERAGE(I21:I24)</f>
        <v>7.92578125</v>
      </c>
      <c r="I21" s="112">
        <v>7.90625</v>
      </c>
      <c r="J21" s="642">
        <v>1.241219158730641</v>
      </c>
      <c r="K21" s="114">
        <v>-0.09375</v>
      </c>
      <c r="L21" s="184"/>
      <c r="M21" s="111">
        <f>AVERAGE(N21:N24)</f>
        <v>6.509166667</v>
      </c>
      <c r="N21" s="112">
        <v>6.553333333333333</v>
      </c>
      <c r="O21" s="117">
        <v>1.1618130330692298</v>
      </c>
      <c r="P21" s="143">
        <v>-0.4466666666666672</v>
      </c>
      <c r="Q21" s="184"/>
      <c r="R21" s="111">
        <f>AVERAGE(S21:S24)</f>
        <v>7.794444444</v>
      </c>
      <c r="S21" s="112">
        <v>7.622222222222222</v>
      </c>
      <c r="T21" s="643">
        <v>1.5198899168943534</v>
      </c>
      <c r="U21" s="644">
        <v>-2.377777777777778</v>
      </c>
      <c r="V21" s="184"/>
      <c r="W21" s="111">
        <f>AVERAGE(X21:X24)</f>
        <v>8.098214286</v>
      </c>
      <c r="X21" s="112">
        <v>8.5</v>
      </c>
      <c r="Y21" s="486">
        <v>1.1602387022306428</v>
      </c>
      <c r="Z21" s="114">
        <v>-0.5</v>
      </c>
      <c r="AA21" s="184"/>
      <c r="AB21" s="111">
        <f>AVERAGE(AC21:AC24)</f>
        <v>7.53125</v>
      </c>
      <c r="AC21" s="112">
        <v>7.65625</v>
      </c>
      <c r="AD21" s="118">
        <v>1.1063265039459795</v>
      </c>
      <c r="AE21" s="118">
        <v>-0.34375</v>
      </c>
      <c r="AF21" s="184"/>
      <c r="AG21" s="111">
        <f>AVERAGE(AH21:AH24)</f>
        <v>6.908318015</v>
      </c>
      <c r="AH21" s="112">
        <v>7.25</v>
      </c>
      <c r="AI21" s="113">
        <v>1.1110243021644486</v>
      </c>
      <c r="AJ21" s="645">
        <v>-0.75</v>
      </c>
      <c r="AK21" s="184"/>
      <c r="AL21" s="111">
        <f>AVERAGE(AM21:AM24)</f>
        <v>7.28125</v>
      </c>
      <c r="AM21" s="112">
        <v>7.4375</v>
      </c>
      <c r="AN21" s="646">
        <v>1.1487394276890093</v>
      </c>
      <c r="AO21" s="118">
        <v>0.4375</v>
      </c>
      <c r="AP21" s="184"/>
      <c r="AQ21" s="111">
        <f>AVERAGE(AR21:AR24)</f>
        <v>8.118055556</v>
      </c>
      <c r="AR21" s="112">
        <v>8.083333333333334</v>
      </c>
      <c r="AS21" s="647">
        <v>1.4168108346481794</v>
      </c>
      <c r="AT21" s="118">
        <v>-1.916666666666666</v>
      </c>
      <c r="AU21" s="184"/>
      <c r="AV21" s="111">
        <f>AVERAGE(AW21:AW24)</f>
        <v>7.985576923</v>
      </c>
      <c r="AW21" s="112">
        <v>8.076923076923077</v>
      </c>
      <c r="AX21" s="425">
        <v>1.255755978254962</v>
      </c>
      <c r="AY21" s="114">
        <v>-0.9230769230769234</v>
      </c>
      <c r="AZ21" s="184"/>
      <c r="BA21" s="111">
        <f>AVERAGE(BB21:BB24)</f>
        <v>8.28515625</v>
      </c>
      <c r="BB21" s="112">
        <v>8.390625</v>
      </c>
      <c r="BC21" s="113">
        <v>1.1290436587366024</v>
      </c>
      <c r="BD21" s="143">
        <v>1.140625</v>
      </c>
      <c r="BE21" s="590"/>
    </row>
    <row r="22" ht="52.5" customHeight="1">
      <c r="A22" s="180"/>
      <c r="B22" s="61"/>
      <c r="C22" s="110" t="s">
        <v>51</v>
      </c>
      <c r="D22" s="164"/>
      <c r="E22" s="61"/>
      <c r="F22" s="55">
        <f t="shared" si="1"/>
        <v>7.332329037</v>
      </c>
      <c r="G22" s="191"/>
      <c r="H22" s="61"/>
      <c r="I22" s="55">
        <v>7.515625</v>
      </c>
      <c r="J22" s="269">
        <v>1.1491618322354196</v>
      </c>
      <c r="K22" s="282">
        <v>-0.484375</v>
      </c>
      <c r="L22" s="184"/>
      <c r="M22" s="61"/>
      <c r="N22" s="55">
        <v>6.083333333333333</v>
      </c>
      <c r="O22" s="63">
        <v>0.884724869797439</v>
      </c>
      <c r="P22" s="146">
        <v>2.083333333333333</v>
      </c>
      <c r="Q22" s="184"/>
      <c r="R22" s="61"/>
      <c r="S22" s="55">
        <v>7.944444444444445</v>
      </c>
      <c r="T22" s="496">
        <v>1.3920878193318216</v>
      </c>
      <c r="U22" s="185">
        <v>-2.0555555555555554</v>
      </c>
      <c r="V22" s="184"/>
      <c r="W22" s="61"/>
      <c r="X22" s="55">
        <v>7.446428571428571</v>
      </c>
      <c r="Y22" s="337">
        <v>1.4484028718284425</v>
      </c>
      <c r="Z22" s="648">
        <v>-0.5535714285714288</v>
      </c>
      <c r="AA22" s="184"/>
      <c r="AB22" s="61"/>
      <c r="AC22" s="55">
        <v>7.28125</v>
      </c>
      <c r="AD22" s="57">
        <v>1.210630001280325</v>
      </c>
      <c r="AE22" s="256">
        <v>-0.71875</v>
      </c>
      <c r="AF22" s="184"/>
      <c r="AG22" s="61"/>
      <c r="AH22" s="55">
        <v>6.367647058823529</v>
      </c>
      <c r="AI22" s="63">
        <v>0.7812132344290249</v>
      </c>
      <c r="AJ22" s="283">
        <v>0.367647058823529</v>
      </c>
      <c r="AK22" s="184"/>
      <c r="AL22" s="61"/>
      <c r="AM22" s="55">
        <v>7.166666666666667</v>
      </c>
      <c r="AN22" s="57">
        <v>1.0298573010888745</v>
      </c>
      <c r="AO22" s="68">
        <v>0.16666666666666696</v>
      </c>
      <c r="AP22" s="184"/>
      <c r="AQ22" s="61"/>
      <c r="AR22" s="55">
        <v>7.972222222222222</v>
      </c>
      <c r="AS22" s="134">
        <v>1.0637367849766306</v>
      </c>
      <c r="AT22" s="57">
        <v>-2.0277777777777777</v>
      </c>
      <c r="AU22" s="184"/>
      <c r="AV22" s="61"/>
      <c r="AW22" s="55">
        <v>7.576923076923077</v>
      </c>
      <c r="AX22" s="130">
        <v>1.2221250932657195</v>
      </c>
      <c r="AY22" s="66">
        <v>-1.4230769230769234</v>
      </c>
      <c r="AZ22" s="184"/>
      <c r="BA22" s="61"/>
      <c r="BB22" s="55">
        <v>7.96875</v>
      </c>
      <c r="BC22" s="63">
        <v>1.161446655397196</v>
      </c>
      <c r="BD22" s="243">
        <v>0.96875</v>
      </c>
      <c r="BE22" s="590"/>
    </row>
    <row r="23" ht="52.5" customHeight="1">
      <c r="A23" s="180"/>
      <c r="B23" s="61"/>
      <c r="C23" s="110" t="s">
        <v>52</v>
      </c>
      <c r="D23" s="164"/>
      <c r="E23" s="61"/>
      <c r="F23" s="55">
        <f t="shared" si="1"/>
        <v>7.59229739</v>
      </c>
      <c r="G23" s="191"/>
      <c r="H23" s="61"/>
      <c r="I23" s="55">
        <v>8.34375</v>
      </c>
      <c r="J23" s="269">
        <v>1.399032403722897</v>
      </c>
      <c r="K23" s="649">
        <v>-0.65625</v>
      </c>
      <c r="L23" s="184"/>
      <c r="M23" s="61"/>
      <c r="N23" s="55">
        <v>6.266666666666667</v>
      </c>
      <c r="O23" s="63">
        <v>1.3870146083619752</v>
      </c>
      <c r="P23" s="146">
        <v>-1.7333333333333334</v>
      </c>
      <c r="Q23" s="184"/>
      <c r="R23" s="61"/>
      <c r="S23" s="55">
        <v>7.777777777777778</v>
      </c>
      <c r="T23" s="87">
        <v>1.1659661762602749</v>
      </c>
      <c r="U23" s="613">
        <v>-1.2222222222222223</v>
      </c>
      <c r="V23" s="184"/>
      <c r="W23" s="61"/>
      <c r="X23" s="55">
        <v>7.660714285714286</v>
      </c>
      <c r="Y23" s="101">
        <v>1.364407249635219</v>
      </c>
      <c r="Z23" s="66">
        <v>1.6607142857142856</v>
      </c>
      <c r="AA23" s="184"/>
      <c r="AB23" s="61"/>
      <c r="AC23" s="55">
        <v>7.265625</v>
      </c>
      <c r="AD23" s="183">
        <v>1.2762861160413836</v>
      </c>
      <c r="AE23" s="213">
        <v>-0.734375</v>
      </c>
      <c r="AF23" s="184"/>
      <c r="AG23" s="61"/>
      <c r="AH23" s="55">
        <v>6.65625</v>
      </c>
      <c r="AI23" s="63">
        <v>1.399032403722897</v>
      </c>
      <c r="AJ23" s="221">
        <v>0.65625</v>
      </c>
      <c r="AK23" s="184"/>
      <c r="AL23" s="61"/>
      <c r="AM23" s="55">
        <v>7.458333333333333</v>
      </c>
      <c r="AN23" s="219">
        <v>1.4054816924737183</v>
      </c>
      <c r="AO23" s="650">
        <v>-0.541666666666667</v>
      </c>
      <c r="AP23" s="184"/>
      <c r="AQ23" s="61"/>
      <c r="AR23" s="55">
        <v>8.222222222222221</v>
      </c>
      <c r="AS23" s="130">
        <v>1.426866396134656</v>
      </c>
      <c r="AT23" s="57">
        <v>-1.7777777777777786</v>
      </c>
      <c r="AU23" s="184"/>
      <c r="AV23" s="61"/>
      <c r="AW23" s="55">
        <v>8.115384615384615</v>
      </c>
      <c r="AX23" s="134">
        <v>1.6092680291808417</v>
      </c>
      <c r="AY23" s="66">
        <v>-1.884615384615385</v>
      </c>
      <c r="AZ23" s="184"/>
      <c r="BA23" s="61"/>
      <c r="BB23" s="55">
        <v>8.15625</v>
      </c>
      <c r="BC23" s="63">
        <v>1.5886970552416007</v>
      </c>
      <c r="BD23" s="57">
        <v>1.15625</v>
      </c>
      <c r="BE23" s="590"/>
    </row>
    <row r="24" ht="52.5" customHeight="1">
      <c r="A24" s="180"/>
      <c r="B24" s="69"/>
      <c r="C24" s="110" t="s">
        <v>53</v>
      </c>
      <c r="D24" s="164"/>
      <c r="E24" s="70"/>
      <c r="F24" s="55">
        <f t="shared" si="1"/>
        <v>7.902615232</v>
      </c>
      <c r="G24" s="191"/>
      <c r="H24" s="70"/>
      <c r="I24" s="71">
        <v>7.9375</v>
      </c>
      <c r="J24" s="651">
        <v>1.4818344486930155</v>
      </c>
      <c r="K24" s="652">
        <v>-1.0625</v>
      </c>
      <c r="L24" s="184"/>
      <c r="M24" s="70"/>
      <c r="N24" s="71">
        <v>7.133333333333334</v>
      </c>
      <c r="O24" s="653">
        <v>1.1872336794093274</v>
      </c>
      <c r="P24" s="654">
        <v>-1.8666666666666663</v>
      </c>
      <c r="Q24" s="184"/>
      <c r="R24" s="70"/>
      <c r="S24" s="71">
        <v>7.833333333333333</v>
      </c>
      <c r="T24" s="222">
        <v>1.3826657968874305</v>
      </c>
      <c r="U24" s="655">
        <v>-2.166666666666667</v>
      </c>
      <c r="V24" s="184"/>
      <c r="W24" s="70"/>
      <c r="X24" s="71">
        <v>8.785714285714286</v>
      </c>
      <c r="Y24" s="258">
        <v>1.05090228108783</v>
      </c>
      <c r="Z24" s="76">
        <v>-0.21428571428571352</v>
      </c>
      <c r="AA24" s="184"/>
      <c r="AB24" s="70"/>
      <c r="AC24" s="71">
        <v>7.921875</v>
      </c>
      <c r="AD24" s="123">
        <v>1.0790379588627392</v>
      </c>
      <c r="AE24" s="656">
        <v>-0.078125</v>
      </c>
      <c r="AF24" s="184"/>
      <c r="AG24" s="70"/>
      <c r="AH24" s="71">
        <v>7.359375</v>
      </c>
      <c r="AI24" s="222">
        <v>1.1104381642697025</v>
      </c>
      <c r="AJ24" s="366">
        <v>0.359375</v>
      </c>
      <c r="AK24" s="184"/>
      <c r="AL24" s="70"/>
      <c r="AM24" s="71">
        <v>7.0625</v>
      </c>
      <c r="AN24" s="76">
        <v>1.4621163055342385</v>
      </c>
      <c r="AO24" s="76">
        <v>-0.9375</v>
      </c>
      <c r="AP24" s="184"/>
      <c r="AQ24" s="70"/>
      <c r="AR24" s="71">
        <v>8.194444444444445</v>
      </c>
      <c r="AS24" s="621">
        <v>1.4666778074443185</v>
      </c>
      <c r="AT24" s="76">
        <v>-1.8055555555555554</v>
      </c>
      <c r="AU24" s="184"/>
      <c r="AV24" s="70"/>
      <c r="AW24" s="71">
        <v>8.173076923076923</v>
      </c>
      <c r="AX24" s="657">
        <v>1.5987775778981086</v>
      </c>
      <c r="AY24" s="370">
        <v>-0.8269230769230766</v>
      </c>
      <c r="AZ24" s="184"/>
      <c r="BA24" s="70"/>
      <c r="BB24" s="71">
        <v>8.625</v>
      </c>
      <c r="BC24" s="658">
        <v>1.2583057392117916</v>
      </c>
      <c r="BD24" s="76">
        <v>0.625</v>
      </c>
      <c r="BE24" s="590"/>
    </row>
    <row r="25" ht="52.5" customHeight="1">
      <c r="A25" s="180"/>
      <c r="B25" s="126" t="s">
        <v>54</v>
      </c>
      <c r="C25" s="127" t="s">
        <v>55</v>
      </c>
      <c r="D25" s="164"/>
      <c r="E25" s="79">
        <f>AVERAGE(F25:F27)</f>
        <v>6.941434123</v>
      </c>
      <c r="F25" s="55">
        <f t="shared" si="1"/>
        <v>7.204398904</v>
      </c>
      <c r="G25" s="191"/>
      <c r="H25" s="79">
        <f>AVERAGE(I25:I29)</f>
        <v>7.559375</v>
      </c>
      <c r="I25" s="80">
        <v>8.0</v>
      </c>
      <c r="J25" s="659">
        <v>1.0327955589886444</v>
      </c>
      <c r="K25" s="660">
        <v>-1.0</v>
      </c>
      <c r="L25" s="184"/>
      <c r="M25" s="79">
        <f>AVERAGE(N25:N29)</f>
        <v>6.246666667</v>
      </c>
      <c r="N25" s="80">
        <v>6.533333333333333</v>
      </c>
      <c r="O25" s="661">
        <v>0.9904304018720251</v>
      </c>
      <c r="P25" s="81">
        <v>-1.4666666666666668</v>
      </c>
      <c r="Q25" s="184"/>
      <c r="R25" s="79">
        <f>AVERAGE(S25:S29)</f>
        <v>6.797222222</v>
      </c>
      <c r="S25" s="80">
        <v>7.166666666666667</v>
      </c>
      <c r="T25" s="662">
        <v>1.212678125181665</v>
      </c>
      <c r="U25" s="81">
        <v>-1.833333333333333</v>
      </c>
      <c r="V25" s="184"/>
      <c r="W25" s="79">
        <f>AVERAGE(X25:X29)</f>
        <v>6.432142857</v>
      </c>
      <c r="X25" s="80">
        <v>6.053571428571429</v>
      </c>
      <c r="Y25" s="663">
        <v>1.019891450806688</v>
      </c>
      <c r="Z25" s="664">
        <v>0.053571428571428825</v>
      </c>
      <c r="AA25" s="184"/>
      <c r="AB25" s="79">
        <f>AVERAGE(AC25:AC29)</f>
        <v>6.890625</v>
      </c>
      <c r="AC25" s="80">
        <v>7.21875</v>
      </c>
      <c r="AD25" s="263">
        <v>0.6823672031978091</v>
      </c>
      <c r="AE25" s="81">
        <v>-0.78125</v>
      </c>
      <c r="AF25" s="184"/>
      <c r="AG25" s="79">
        <f>AVERAGE(AH25:AH29)</f>
        <v>6.825</v>
      </c>
      <c r="AH25" s="80">
        <v>7.046875</v>
      </c>
      <c r="AI25" s="210">
        <v>1.183986028915319</v>
      </c>
      <c r="AJ25" s="279">
        <v>1.046875</v>
      </c>
      <c r="AK25" s="184"/>
      <c r="AL25" s="79">
        <f>AVERAGE(AM25:AM29)</f>
        <v>7.116666667</v>
      </c>
      <c r="AM25" s="80">
        <v>7.833333333333333</v>
      </c>
      <c r="AN25" s="81">
        <v>0.7177405625652733</v>
      </c>
      <c r="AO25" s="81">
        <v>-1.166666666666667</v>
      </c>
      <c r="AP25" s="184"/>
      <c r="AQ25" s="79">
        <f>AVERAGE(AR25:AR29)</f>
        <v>6.872843137</v>
      </c>
      <c r="AR25" s="80">
        <v>7.455882352941177</v>
      </c>
      <c r="AS25" s="380">
        <v>0.9024069122597175</v>
      </c>
      <c r="AT25" s="665">
        <v>-0.5441176470588234</v>
      </c>
      <c r="AU25" s="184"/>
      <c r="AV25" s="79">
        <f>AVERAGE(AW25:AW29)</f>
        <v>7.011538462</v>
      </c>
      <c r="AW25" s="80">
        <v>6.923076923076923</v>
      </c>
      <c r="AX25" s="81">
        <v>1.0174755084307487</v>
      </c>
      <c r="AY25" s="81">
        <v>-0.07692307692307665</v>
      </c>
      <c r="AZ25" s="184"/>
      <c r="BA25" s="79">
        <f>AVERAGE(BB25:BB29)</f>
        <v>6.996875</v>
      </c>
      <c r="BB25" s="80">
        <v>7.8125</v>
      </c>
      <c r="BC25" s="81">
        <v>1.1672617529928753</v>
      </c>
      <c r="BD25" s="81">
        <v>0.3125</v>
      </c>
      <c r="BE25" s="590"/>
    </row>
    <row r="26" ht="52.5" customHeight="1">
      <c r="A26" s="180"/>
      <c r="B26" s="61"/>
      <c r="C26" s="127" t="s">
        <v>56</v>
      </c>
      <c r="D26" s="164"/>
      <c r="E26" s="61"/>
      <c r="F26" s="55">
        <f t="shared" si="1"/>
        <v>6.818748855</v>
      </c>
      <c r="G26" s="191"/>
      <c r="H26" s="61"/>
      <c r="I26" s="55">
        <v>8.09375</v>
      </c>
      <c r="J26" s="337">
        <v>0.8605957239029253</v>
      </c>
      <c r="K26" s="593">
        <v>-0.40625</v>
      </c>
      <c r="L26" s="184"/>
      <c r="M26" s="61"/>
      <c r="N26" s="55">
        <v>5.866666666666666</v>
      </c>
      <c r="O26" s="62">
        <v>1.1872336794093272</v>
      </c>
      <c r="P26" s="144">
        <v>1.8666666666666663</v>
      </c>
      <c r="Q26" s="184"/>
      <c r="R26" s="61"/>
      <c r="S26" s="55">
        <v>6.652777777777778</v>
      </c>
      <c r="T26" s="529">
        <v>1.2039728624826938</v>
      </c>
      <c r="U26" s="57">
        <v>-0.3472222222222223</v>
      </c>
      <c r="V26" s="184"/>
      <c r="W26" s="61"/>
      <c r="X26" s="55">
        <v>6.017857142857143</v>
      </c>
      <c r="Y26" s="337">
        <v>1.0398977654737809</v>
      </c>
      <c r="Z26" s="147">
        <v>0.017857142857143238</v>
      </c>
      <c r="AA26" s="184"/>
      <c r="AB26" s="61"/>
      <c r="AC26" s="55">
        <v>6.6875</v>
      </c>
      <c r="AD26" s="57">
        <v>0.6291528696058958</v>
      </c>
      <c r="AE26" s="57">
        <v>-0.3125</v>
      </c>
      <c r="AF26" s="184"/>
      <c r="AG26" s="61"/>
      <c r="AH26" s="55">
        <v>6.8125</v>
      </c>
      <c r="AI26" s="148">
        <v>1.0468205831628137</v>
      </c>
      <c r="AJ26" s="57">
        <v>-0.1875</v>
      </c>
      <c r="AK26" s="184"/>
      <c r="AL26" s="61"/>
      <c r="AM26" s="55">
        <v>7.291666666666667</v>
      </c>
      <c r="AN26" s="57">
        <v>0.964325796826074</v>
      </c>
      <c r="AO26" s="57">
        <v>-0.708333333333333</v>
      </c>
      <c r="AP26" s="184"/>
      <c r="AQ26" s="61"/>
      <c r="AR26" s="55">
        <v>6.797222222222222</v>
      </c>
      <c r="AS26" s="62">
        <v>1.0732677181259305</v>
      </c>
      <c r="AT26" s="57">
        <v>-1.2027777777777784</v>
      </c>
      <c r="AU26" s="184"/>
      <c r="AV26" s="61"/>
      <c r="AW26" s="55">
        <v>7.076923076923077</v>
      </c>
      <c r="AX26" s="105">
        <v>0.6405126152203485</v>
      </c>
      <c r="AY26" s="57">
        <v>0.07692307692307665</v>
      </c>
      <c r="AZ26" s="184"/>
      <c r="BA26" s="61"/>
      <c r="BB26" s="55">
        <v>6.890625</v>
      </c>
      <c r="BC26" s="57">
        <v>0.9441431300390847</v>
      </c>
      <c r="BD26" s="221">
        <v>0.640625</v>
      </c>
      <c r="BE26" s="595"/>
    </row>
    <row r="27" ht="52.5" customHeight="1">
      <c r="A27" s="180"/>
      <c r="B27" s="61"/>
      <c r="C27" s="127" t="s">
        <v>57</v>
      </c>
      <c r="D27" s="164"/>
      <c r="E27" s="61"/>
      <c r="F27" s="55">
        <f t="shared" si="1"/>
        <v>6.801154609</v>
      </c>
      <c r="G27" s="191"/>
      <c r="H27" s="61"/>
      <c r="I27" s="55">
        <v>6.75</v>
      </c>
      <c r="J27" s="121">
        <v>1.1832159566199232</v>
      </c>
      <c r="K27" s="146">
        <v>1.75</v>
      </c>
      <c r="L27" s="184"/>
      <c r="M27" s="61"/>
      <c r="N27" s="55">
        <v>6.533333333333333</v>
      </c>
      <c r="O27" s="63">
        <v>0.833809387832792</v>
      </c>
      <c r="P27" s="57">
        <v>0.5333333333333332</v>
      </c>
      <c r="Q27" s="184"/>
      <c r="R27" s="61"/>
      <c r="S27" s="55">
        <v>6.888888888888889</v>
      </c>
      <c r="T27" s="148">
        <v>1.022619985129827</v>
      </c>
      <c r="U27" s="144">
        <v>-2.1111111111111107</v>
      </c>
      <c r="V27" s="184"/>
      <c r="W27" s="61"/>
      <c r="X27" s="55">
        <v>6.696428571428571</v>
      </c>
      <c r="Y27" s="57">
        <v>0.9814558036434929</v>
      </c>
      <c r="Z27" s="57">
        <v>-1.3035714285714288</v>
      </c>
      <c r="AA27" s="184"/>
      <c r="AB27" s="61"/>
      <c r="AC27" s="55">
        <v>6.71875</v>
      </c>
      <c r="AD27" s="57">
        <v>0.8938446919534362</v>
      </c>
      <c r="AE27" s="57">
        <v>-1.28125</v>
      </c>
      <c r="AF27" s="184"/>
      <c r="AG27" s="61"/>
      <c r="AH27" s="55">
        <v>6.5625</v>
      </c>
      <c r="AI27" s="101">
        <v>0.8920949127381756</v>
      </c>
      <c r="AJ27" s="147">
        <v>0.5625</v>
      </c>
      <c r="AK27" s="184"/>
      <c r="AL27" s="61"/>
      <c r="AM27" s="55">
        <v>6.75</v>
      </c>
      <c r="AN27" s="57">
        <v>0.8660254037844386</v>
      </c>
      <c r="AO27" s="57">
        <v>-1.25</v>
      </c>
      <c r="AP27" s="184"/>
      <c r="AQ27" s="61"/>
      <c r="AR27" s="55">
        <v>6.972222222222222</v>
      </c>
      <c r="AS27" s="62">
        <v>0.9151056226761997</v>
      </c>
      <c r="AT27" s="57">
        <v>-1.0277777777777777</v>
      </c>
      <c r="AU27" s="184"/>
      <c r="AV27" s="61"/>
      <c r="AW27" s="55">
        <v>7.076923076923077</v>
      </c>
      <c r="AX27" s="136">
        <v>1.1875421719907089</v>
      </c>
      <c r="AY27" s="57">
        <v>1.0769230769230766</v>
      </c>
      <c r="AZ27" s="184"/>
      <c r="BA27" s="61"/>
      <c r="BB27" s="55">
        <v>7.0625</v>
      </c>
      <c r="BC27" s="57">
        <v>0.8539125638299665</v>
      </c>
      <c r="BD27" s="57">
        <v>1.0625</v>
      </c>
      <c r="BE27" s="590"/>
    </row>
    <row r="28" ht="52.5" customHeight="1">
      <c r="A28" s="180"/>
      <c r="B28" s="61"/>
      <c r="C28" s="127" t="s">
        <v>58</v>
      </c>
      <c r="D28" s="164"/>
      <c r="E28" s="61"/>
      <c r="F28" s="55">
        <f t="shared" si="1"/>
        <v>6.409322726</v>
      </c>
      <c r="G28" s="191"/>
      <c r="H28" s="61"/>
      <c r="I28" s="55">
        <v>7.28125</v>
      </c>
      <c r="J28" s="133">
        <v>0.9303897032964198</v>
      </c>
      <c r="K28" s="146">
        <v>0.28125</v>
      </c>
      <c r="L28" s="184"/>
      <c r="M28" s="61"/>
      <c r="N28" s="55">
        <v>5.6</v>
      </c>
      <c r="O28" s="102">
        <v>0.7367883976130072</v>
      </c>
      <c r="P28" s="57">
        <v>-0.40000000000000036</v>
      </c>
      <c r="Q28" s="184"/>
      <c r="R28" s="61"/>
      <c r="S28" s="55">
        <v>6.222222222222222</v>
      </c>
      <c r="T28" s="93">
        <v>0.9428090415820635</v>
      </c>
      <c r="U28" s="650">
        <v>-0.7777777777777777</v>
      </c>
      <c r="V28" s="184"/>
      <c r="W28" s="61"/>
      <c r="X28" s="55">
        <v>6.107142857142857</v>
      </c>
      <c r="Y28" s="119">
        <v>1.3035243857234984</v>
      </c>
      <c r="Z28" s="666">
        <v>-0.8928571428571432</v>
      </c>
      <c r="AA28" s="184"/>
      <c r="AB28" s="61"/>
      <c r="AC28" s="55">
        <v>6.578125</v>
      </c>
      <c r="AD28" s="529">
        <v>0.7171631032524377</v>
      </c>
      <c r="AE28" s="57">
        <v>-1.421875</v>
      </c>
      <c r="AF28" s="184"/>
      <c r="AG28" s="61"/>
      <c r="AH28" s="55">
        <v>6.5625</v>
      </c>
      <c r="AI28" s="62">
        <v>0.963932916061417</v>
      </c>
      <c r="AJ28" s="57">
        <v>-0.4375</v>
      </c>
      <c r="AK28" s="184"/>
      <c r="AL28" s="61"/>
      <c r="AM28" s="55">
        <v>6.625</v>
      </c>
      <c r="AN28" s="236">
        <v>1.0686652677735224</v>
      </c>
      <c r="AO28" s="66">
        <v>-1.375</v>
      </c>
      <c r="AP28" s="184"/>
      <c r="AQ28" s="61"/>
      <c r="AR28" s="55">
        <v>6.083333333333333</v>
      </c>
      <c r="AS28" s="526">
        <v>0.9432422182837986</v>
      </c>
      <c r="AT28" s="57">
        <v>0.08333333333333304</v>
      </c>
      <c r="AU28" s="184"/>
      <c r="AV28" s="61"/>
      <c r="AW28" s="55">
        <v>6.596153846153846</v>
      </c>
      <c r="AX28" s="183">
        <v>0.657793514480272</v>
      </c>
      <c r="AY28" s="66">
        <v>0.5961538461538458</v>
      </c>
      <c r="AZ28" s="184"/>
      <c r="BA28" s="61"/>
      <c r="BB28" s="55">
        <v>6.4375</v>
      </c>
      <c r="BC28" s="93">
        <v>0.963932916061417</v>
      </c>
      <c r="BD28" s="200">
        <v>-0.5625</v>
      </c>
      <c r="BE28" s="590"/>
    </row>
    <row r="29" ht="52.5" customHeight="1">
      <c r="A29" s="180"/>
      <c r="B29" s="69"/>
      <c r="C29" s="127" t="s">
        <v>59</v>
      </c>
      <c r="D29" s="164"/>
      <c r="E29" s="70"/>
      <c r="F29" s="55">
        <f t="shared" si="1"/>
        <v>7.140852411</v>
      </c>
      <c r="G29" s="191"/>
      <c r="H29" s="70"/>
      <c r="I29" s="71">
        <v>7.671875</v>
      </c>
      <c r="J29" s="667">
        <v>0.9070039966835868</v>
      </c>
      <c r="K29" s="228">
        <v>0.171875</v>
      </c>
      <c r="L29" s="184"/>
      <c r="M29" s="70"/>
      <c r="N29" s="71">
        <v>6.7</v>
      </c>
      <c r="O29" s="668">
        <v>0.7973169292786186</v>
      </c>
      <c r="P29" s="76">
        <v>-0.2999999999999998</v>
      </c>
      <c r="Q29" s="184"/>
      <c r="R29" s="70"/>
      <c r="S29" s="71">
        <v>7.055555555555555</v>
      </c>
      <c r="T29" s="669">
        <v>0.8726040960806521</v>
      </c>
      <c r="U29" s="670">
        <v>-0.9444444444444446</v>
      </c>
      <c r="V29" s="184"/>
      <c r="W29" s="70"/>
      <c r="X29" s="71">
        <v>7.285714285714286</v>
      </c>
      <c r="Y29" s="76">
        <v>1.2666473875533018</v>
      </c>
      <c r="Z29" s="76">
        <v>1.2857142857142856</v>
      </c>
      <c r="AA29" s="184"/>
      <c r="AB29" s="70"/>
      <c r="AC29" s="71">
        <v>7.25</v>
      </c>
      <c r="AD29" s="669">
        <v>0.9309493362512627</v>
      </c>
      <c r="AE29" s="76">
        <v>-0.75</v>
      </c>
      <c r="AF29" s="184"/>
      <c r="AG29" s="70"/>
      <c r="AH29" s="71">
        <v>7.140625</v>
      </c>
      <c r="AI29" s="657">
        <v>1.0081697525714606</v>
      </c>
      <c r="AJ29" s="76">
        <v>0.140625</v>
      </c>
      <c r="AK29" s="184"/>
      <c r="AL29" s="70"/>
      <c r="AM29" s="71">
        <v>7.083333333333333</v>
      </c>
      <c r="AN29" s="651">
        <v>0.701729465267237</v>
      </c>
      <c r="AO29" s="76">
        <v>-0.916666666666667</v>
      </c>
      <c r="AP29" s="184"/>
      <c r="AQ29" s="70"/>
      <c r="AR29" s="71">
        <v>7.055555555555555</v>
      </c>
      <c r="AS29" s="123">
        <v>0.8555852638929973</v>
      </c>
      <c r="AT29" s="76">
        <v>-0.9444444444444446</v>
      </c>
      <c r="AU29" s="184"/>
      <c r="AV29" s="70"/>
      <c r="AW29" s="71">
        <v>7.384615384615385</v>
      </c>
      <c r="AX29" s="653">
        <v>0.6817210498023291</v>
      </c>
      <c r="AY29" s="76">
        <v>0.384615384615385</v>
      </c>
      <c r="AZ29" s="184"/>
      <c r="BA29" s="70"/>
      <c r="BB29" s="71">
        <v>6.78125</v>
      </c>
      <c r="BC29" s="76">
        <v>0.7520804478245662</v>
      </c>
      <c r="BD29" s="76">
        <v>0.28125</v>
      </c>
      <c r="BE29" s="590"/>
    </row>
    <row r="30" ht="52.5" customHeight="1">
      <c r="A30" s="180"/>
      <c r="B30" s="139" t="s">
        <v>60</v>
      </c>
      <c r="C30" s="140" t="s">
        <v>61</v>
      </c>
      <c r="D30" s="164"/>
      <c r="E30" s="111">
        <f>AVERAGE(F30:F36)</f>
        <v>6.839655122</v>
      </c>
      <c r="F30" s="55">
        <f t="shared" si="1"/>
        <v>6.544873703</v>
      </c>
      <c r="G30" s="191"/>
      <c r="H30" s="79">
        <f>AVERAGE(I30:I36)</f>
        <v>7.613839286</v>
      </c>
      <c r="I30" s="80">
        <v>8.21875</v>
      </c>
      <c r="J30" s="671">
        <v>0.9826622003516773</v>
      </c>
      <c r="K30" s="81">
        <v>0.21875</v>
      </c>
      <c r="L30" s="184"/>
      <c r="M30" s="79">
        <f>AVERAGE(N30:N36)</f>
        <v>6.176190476</v>
      </c>
      <c r="N30" s="80">
        <v>5.666666666666667</v>
      </c>
      <c r="O30" s="587">
        <v>0.816496580927726</v>
      </c>
      <c r="P30" s="279">
        <v>0.666666666666667</v>
      </c>
      <c r="Q30" s="184"/>
      <c r="R30" s="79">
        <f>AVERAGE(S30:S36)</f>
        <v>6.734126984</v>
      </c>
      <c r="S30" s="80">
        <v>6.722222222222222</v>
      </c>
      <c r="T30" s="266">
        <v>0.7519039015221181</v>
      </c>
      <c r="U30" s="672">
        <v>-0.2777777777777777</v>
      </c>
      <c r="V30" s="184"/>
      <c r="W30" s="79">
        <f>AVERAGE(X30:X36)</f>
        <v>6.344387755</v>
      </c>
      <c r="X30" s="80">
        <v>5.553571428571429</v>
      </c>
      <c r="Y30" s="673">
        <v>0.9311829295856149</v>
      </c>
      <c r="Z30" s="581">
        <v>-0.4464285714285712</v>
      </c>
      <c r="AA30" s="184"/>
      <c r="AB30" s="79">
        <f>AVERAGE(AC30:AC36)</f>
        <v>6.866071429</v>
      </c>
      <c r="AC30" s="80">
        <v>6.65625</v>
      </c>
      <c r="AD30" s="674">
        <v>0.700446286306095</v>
      </c>
      <c r="AE30" s="675">
        <v>-0.34375</v>
      </c>
      <c r="AF30" s="184"/>
      <c r="AG30" s="79">
        <f>AVERAGE(AH30:AH36)</f>
        <v>6.819196429</v>
      </c>
      <c r="AH30" s="80">
        <v>6.453125</v>
      </c>
      <c r="AI30" s="676">
        <v>1.2721987200643354</v>
      </c>
      <c r="AJ30" s="279">
        <v>-0.546875</v>
      </c>
      <c r="AK30" s="184"/>
      <c r="AL30" s="79">
        <f>AVERAGE(AM30:AM36)</f>
        <v>6.8125</v>
      </c>
      <c r="AM30" s="80">
        <v>6.541666666666667</v>
      </c>
      <c r="AN30" s="626">
        <v>0.498102459947811</v>
      </c>
      <c r="AO30" s="279">
        <v>-0.45833333333333304</v>
      </c>
      <c r="AP30" s="184"/>
      <c r="AQ30" s="79">
        <f>AVERAGE(AR30:AR36)</f>
        <v>7.075396825</v>
      </c>
      <c r="AR30" s="80">
        <v>6.638888888888889</v>
      </c>
      <c r="AS30" s="671">
        <v>0.7236662286285828</v>
      </c>
      <c r="AT30" s="581">
        <v>-0.3611111111111107</v>
      </c>
      <c r="AU30" s="184"/>
      <c r="AV30" s="79">
        <f>AVERAGE(AW30:AW36)</f>
        <v>7.175824176</v>
      </c>
      <c r="AW30" s="80">
        <v>6.653846153846154</v>
      </c>
      <c r="AX30" s="677">
        <v>0.6887372317211945</v>
      </c>
      <c r="AY30" s="678">
        <v>-0.3461538461538458</v>
      </c>
      <c r="AZ30" s="184"/>
      <c r="BA30" s="79">
        <f>AVERAGE(BB30:BB36)</f>
        <v>6.779017857</v>
      </c>
      <c r="BB30" s="80">
        <v>6.34375</v>
      </c>
      <c r="BC30" s="679">
        <v>0.700446286306095</v>
      </c>
      <c r="BD30" s="81">
        <v>-0.15625</v>
      </c>
      <c r="BE30" s="595"/>
    </row>
    <row r="31" ht="52.5" customHeight="1">
      <c r="A31" s="180"/>
      <c r="B31" s="61"/>
      <c r="C31" s="140" t="s">
        <v>62</v>
      </c>
      <c r="D31" s="164"/>
      <c r="E31" s="61"/>
      <c r="F31" s="55">
        <f t="shared" si="1"/>
        <v>7.176821963</v>
      </c>
      <c r="G31" s="191"/>
      <c r="H31" s="61"/>
      <c r="I31" s="55">
        <v>7.953125</v>
      </c>
      <c r="J31" s="57">
        <v>1.0496775298474605</v>
      </c>
      <c r="K31" s="498">
        <v>-0.046875</v>
      </c>
      <c r="L31" s="184"/>
      <c r="M31" s="61"/>
      <c r="N31" s="55">
        <v>6.333333333333333</v>
      </c>
      <c r="O31" s="62">
        <v>1.0465362369445672</v>
      </c>
      <c r="P31" s="57">
        <v>-0.666666666666667</v>
      </c>
      <c r="Q31" s="184"/>
      <c r="R31" s="61"/>
      <c r="S31" s="55">
        <v>6.861111111111111</v>
      </c>
      <c r="T31" s="148">
        <v>1.1350765140775567</v>
      </c>
      <c r="U31" s="57">
        <v>-1.1388888888888893</v>
      </c>
      <c r="V31" s="184"/>
      <c r="W31" s="61"/>
      <c r="X31" s="55">
        <v>6.285714285714286</v>
      </c>
      <c r="Y31" s="57">
        <v>0.9138735334633752</v>
      </c>
      <c r="Z31" s="215">
        <v>0.2857142857142856</v>
      </c>
      <c r="AA31" s="184"/>
      <c r="AB31" s="61"/>
      <c r="AC31" s="55">
        <v>7.09375</v>
      </c>
      <c r="AD31" s="57">
        <v>0.9698582370635411</v>
      </c>
      <c r="AE31" s="185">
        <v>-0.90625</v>
      </c>
      <c r="AF31" s="184"/>
      <c r="AG31" s="61"/>
      <c r="AH31" s="55">
        <v>7.78125</v>
      </c>
      <c r="AI31" s="57">
        <v>0.9481341325642344</v>
      </c>
      <c r="AJ31" s="57">
        <v>-0.21875</v>
      </c>
      <c r="AK31" s="184"/>
      <c r="AL31" s="61"/>
      <c r="AM31" s="55">
        <v>7.5</v>
      </c>
      <c r="AN31" s="238">
        <v>1.087114613009218</v>
      </c>
      <c r="AO31" s="57">
        <v>-1.5</v>
      </c>
      <c r="AP31" s="184"/>
      <c r="AQ31" s="61"/>
      <c r="AR31" s="55">
        <v>7.541666666666667</v>
      </c>
      <c r="AS31" s="255">
        <v>1.0580573208090605</v>
      </c>
      <c r="AT31" s="591">
        <v>-1.458333333333333</v>
      </c>
      <c r="AU31" s="184"/>
      <c r="AV31" s="61"/>
      <c r="AW31" s="55">
        <v>7.480769230769231</v>
      </c>
      <c r="AX31" s="198">
        <v>0.8444767762591376</v>
      </c>
      <c r="AY31" s="57">
        <v>0.48076923076923084</v>
      </c>
      <c r="AZ31" s="184"/>
      <c r="BA31" s="61"/>
      <c r="BB31" s="55">
        <v>6.9375</v>
      </c>
      <c r="BC31" s="57">
        <v>0.8539125638299665</v>
      </c>
      <c r="BD31" s="57">
        <v>0.9375</v>
      </c>
      <c r="BE31" s="590"/>
    </row>
    <row r="32" ht="52.5" customHeight="1">
      <c r="A32" s="180"/>
      <c r="B32" s="61"/>
      <c r="C32" s="140" t="s">
        <v>63</v>
      </c>
      <c r="D32" s="164"/>
      <c r="E32" s="61"/>
      <c r="F32" s="55">
        <f t="shared" si="1"/>
        <v>6.670460928</v>
      </c>
      <c r="G32" s="169"/>
      <c r="H32" s="61"/>
      <c r="I32" s="55">
        <v>7.34375</v>
      </c>
      <c r="J32" s="183">
        <v>1.1063265039459795</v>
      </c>
      <c r="K32" s="185">
        <v>0.34375</v>
      </c>
      <c r="L32" s="184"/>
      <c r="M32" s="61"/>
      <c r="N32" s="55">
        <v>6.133333333333334</v>
      </c>
      <c r="O32" s="103">
        <v>0.9154754164341268</v>
      </c>
      <c r="P32" s="680">
        <v>-1.8666666666666663</v>
      </c>
      <c r="Q32" s="184"/>
      <c r="R32" s="61"/>
      <c r="S32" s="55">
        <v>6.333333333333333</v>
      </c>
      <c r="T32" s="529">
        <v>1.0846522890932808</v>
      </c>
      <c r="U32" s="57">
        <v>-1.666666666666667</v>
      </c>
      <c r="V32" s="184"/>
      <c r="W32" s="61"/>
      <c r="X32" s="55">
        <v>6.142857142857143</v>
      </c>
      <c r="Y32" s="189">
        <v>0.8644378215075665</v>
      </c>
      <c r="Z32" s="147">
        <v>0.14285714285714324</v>
      </c>
      <c r="AA32" s="184"/>
      <c r="AB32" s="61"/>
      <c r="AC32" s="55">
        <v>6.5625</v>
      </c>
      <c r="AD32" s="84">
        <v>0.8920949127381756</v>
      </c>
      <c r="AE32" s="146">
        <v>-0.4375</v>
      </c>
      <c r="AF32" s="184"/>
      <c r="AG32" s="61"/>
      <c r="AH32" s="55">
        <v>6.75</v>
      </c>
      <c r="AI32" s="63">
        <v>0.9309493362512627</v>
      </c>
      <c r="AJ32" s="283">
        <v>-0.25</v>
      </c>
      <c r="AK32" s="184"/>
      <c r="AL32" s="61"/>
      <c r="AM32" s="55">
        <v>6.708333333333333</v>
      </c>
      <c r="AN32" s="57">
        <v>1.2146517146403686</v>
      </c>
      <c r="AO32" s="57">
        <v>0.708333333333333</v>
      </c>
      <c r="AP32" s="184"/>
      <c r="AQ32" s="61"/>
      <c r="AR32" s="55">
        <v>6.944444444444445</v>
      </c>
      <c r="AS32" s="101">
        <v>0.9983646759294876</v>
      </c>
      <c r="AT32" s="57">
        <v>-1.0555555555555554</v>
      </c>
      <c r="AU32" s="184"/>
      <c r="AV32" s="61"/>
      <c r="AW32" s="55">
        <v>7.1923076923076925</v>
      </c>
      <c r="AX32" s="344">
        <v>0.6304251719561152</v>
      </c>
      <c r="AY32" s="57">
        <v>1.1923076923076925</v>
      </c>
      <c r="AZ32" s="184"/>
      <c r="BA32" s="61"/>
      <c r="BB32" s="55">
        <v>6.59375</v>
      </c>
      <c r="BC32" s="194">
        <v>0.8797490172391972</v>
      </c>
      <c r="BD32" s="57">
        <v>0.09375</v>
      </c>
      <c r="BE32" s="590"/>
    </row>
    <row r="33" ht="52.5" customHeight="1">
      <c r="A33" s="180"/>
      <c r="B33" s="61"/>
      <c r="C33" s="140" t="s">
        <v>64</v>
      </c>
      <c r="D33" s="164"/>
      <c r="E33" s="61"/>
      <c r="F33" s="55">
        <f t="shared" si="1"/>
        <v>6.98393544</v>
      </c>
      <c r="G33" s="169"/>
      <c r="H33" s="61"/>
      <c r="I33" s="55">
        <v>7.125</v>
      </c>
      <c r="J33" s="130">
        <v>1.2041594578792296</v>
      </c>
      <c r="K33" s="681">
        <v>-0.875</v>
      </c>
      <c r="L33" s="184"/>
      <c r="M33" s="61"/>
      <c r="N33" s="55">
        <v>6.266666666666667</v>
      </c>
      <c r="O33" s="88">
        <v>0.8837151016885371</v>
      </c>
      <c r="P33" s="57">
        <v>0.2666666666666666</v>
      </c>
      <c r="Q33" s="184"/>
      <c r="R33" s="61"/>
      <c r="S33" s="55">
        <v>6.833333333333333</v>
      </c>
      <c r="T33" s="198">
        <v>1.2485285456935955</v>
      </c>
      <c r="U33" s="57">
        <v>-3.166666666666667</v>
      </c>
      <c r="V33" s="184"/>
      <c r="W33" s="61"/>
      <c r="X33" s="55">
        <v>7.107142857142857</v>
      </c>
      <c r="Y33" s="470">
        <v>0.8809647558778393</v>
      </c>
      <c r="Z33" s="57">
        <v>0.10714285714285676</v>
      </c>
      <c r="AA33" s="184"/>
      <c r="AB33" s="61"/>
      <c r="AC33" s="55">
        <v>6.9375</v>
      </c>
      <c r="AD33" s="57">
        <v>0.7932002689527196</v>
      </c>
      <c r="AE33" s="57">
        <v>-1.0625</v>
      </c>
      <c r="AF33" s="184"/>
      <c r="AG33" s="61"/>
      <c r="AH33" s="55">
        <v>7.0625</v>
      </c>
      <c r="AI33" s="57">
        <v>1.1236102527122116</v>
      </c>
      <c r="AJ33" s="57">
        <v>-0.9375</v>
      </c>
      <c r="AK33" s="184"/>
      <c r="AL33" s="61"/>
      <c r="AM33" s="55">
        <v>6.75</v>
      </c>
      <c r="AN33" s="105">
        <v>1.3568010505999362</v>
      </c>
      <c r="AO33" s="57">
        <v>-1.25</v>
      </c>
      <c r="AP33" s="184"/>
      <c r="AQ33" s="61"/>
      <c r="AR33" s="55">
        <v>7.25</v>
      </c>
      <c r="AS33" s="56">
        <v>1.0880365478290537</v>
      </c>
      <c r="AT33" s="57">
        <v>-0.75</v>
      </c>
      <c r="AU33" s="184"/>
      <c r="AV33" s="61"/>
      <c r="AW33" s="55">
        <v>7.538461538461538</v>
      </c>
      <c r="AX33" s="101">
        <v>1.0500305245868344</v>
      </c>
      <c r="AY33" s="57">
        <v>0.5384615384615383</v>
      </c>
      <c r="AZ33" s="184"/>
      <c r="BA33" s="61"/>
      <c r="BB33" s="55">
        <v>6.96875</v>
      </c>
      <c r="BC33" s="67">
        <v>0.8654237882871797</v>
      </c>
      <c r="BD33" s="57">
        <v>0.96875</v>
      </c>
      <c r="BE33" s="590"/>
    </row>
    <row r="34" ht="52.5" customHeight="1">
      <c r="A34" s="180"/>
      <c r="B34" s="61"/>
      <c r="C34" s="140" t="s">
        <v>65</v>
      </c>
      <c r="D34" s="164"/>
      <c r="E34" s="61"/>
      <c r="F34" s="55">
        <f t="shared" si="1"/>
        <v>6.587682387</v>
      </c>
      <c r="G34" s="169"/>
      <c r="H34" s="61"/>
      <c r="I34" s="55">
        <v>8.15625</v>
      </c>
      <c r="J34" s="615">
        <v>0.9953014618697191</v>
      </c>
      <c r="K34" s="66">
        <v>-0.84375</v>
      </c>
      <c r="L34" s="184"/>
      <c r="M34" s="61"/>
      <c r="N34" s="55">
        <v>5.766666666666667</v>
      </c>
      <c r="O34" s="238">
        <v>1.3210745986650774</v>
      </c>
      <c r="P34" s="146">
        <v>-0.2333333333333334</v>
      </c>
      <c r="Q34" s="184"/>
      <c r="R34" s="61"/>
      <c r="S34" s="55">
        <v>6.5</v>
      </c>
      <c r="T34" s="238">
        <v>1.0431851677040116</v>
      </c>
      <c r="U34" s="57">
        <v>-0.5</v>
      </c>
      <c r="V34" s="184"/>
      <c r="W34" s="61"/>
      <c r="X34" s="55">
        <v>5.571428571428571</v>
      </c>
      <c r="Y34" s="238">
        <v>0.937614461876991</v>
      </c>
      <c r="Z34" s="57">
        <v>-0.4285714285714288</v>
      </c>
      <c r="AA34" s="184"/>
      <c r="AB34" s="61"/>
      <c r="AC34" s="55">
        <v>6.53125</v>
      </c>
      <c r="AD34" s="57">
        <v>0.9213893494789992</v>
      </c>
      <c r="AE34" s="57">
        <v>-1.46875</v>
      </c>
      <c r="AF34" s="184"/>
      <c r="AG34" s="61"/>
      <c r="AH34" s="55">
        <v>6.34375</v>
      </c>
      <c r="AI34" s="57">
        <v>1.1360567767501764</v>
      </c>
      <c r="AJ34" s="185">
        <v>-1.65625</v>
      </c>
      <c r="AK34" s="184"/>
      <c r="AL34" s="61"/>
      <c r="AM34" s="55">
        <v>6.625</v>
      </c>
      <c r="AN34" s="345">
        <v>0.882274951990076</v>
      </c>
      <c r="AO34" s="57">
        <v>0.625</v>
      </c>
      <c r="AP34" s="184"/>
      <c r="AQ34" s="61"/>
      <c r="AR34" s="55">
        <v>7.055555555555555</v>
      </c>
      <c r="AS34" s="60">
        <v>0.9983646759294876</v>
      </c>
      <c r="AT34" s="57">
        <v>-0.9444444444444446</v>
      </c>
      <c r="AU34" s="184"/>
      <c r="AV34" s="61"/>
      <c r="AW34" s="55">
        <v>6.576923076923077</v>
      </c>
      <c r="AX34" s="136">
        <v>1.2885093753079218</v>
      </c>
      <c r="AY34" s="66">
        <v>-1.4230769230769234</v>
      </c>
      <c r="AZ34" s="184"/>
      <c r="BA34" s="61"/>
      <c r="BB34" s="55">
        <v>6.75</v>
      </c>
      <c r="BC34" s="236">
        <v>0.9486832980505138</v>
      </c>
      <c r="BD34" s="57">
        <v>1.25</v>
      </c>
      <c r="BE34" s="590"/>
    </row>
    <row r="35" ht="52.5" customHeight="1">
      <c r="A35" s="180"/>
      <c r="B35" s="61"/>
      <c r="C35" s="140" t="s">
        <v>66</v>
      </c>
      <c r="D35" s="164"/>
      <c r="E35" s="61"/>
      <c r="F35" s="55">
        <f t="shared" si="1"/>
        <v>7.297516026</v>
      </c>
      <c r="G35" s="286"/>
      <c r="H35" s="61"/>
      <c r="I35" s="55">
        <v>7.5</v>
      </c>
      <c r="J35" s="134">
        <v>1.4605934866804429</v>
      </c>
      <c r="K35" s="593">
        <v>2.5</v>
      </c>
      <c r="L35" s="184"/>
      <c r="M35" s="61"/>
      <c r="N35" s="55">
        <v>6.666666666666667</v>
      </c>
      <c r="O35" s="86">
        <v>1.1126972805283737</v>
      </c>
      <c r="P35" s="57">
        <v>0.666666666666667</v>
      </c>
      <c r="Q35" s="184"/>
      <c r="R35" s="61"/>
      <c r="S35" s="55">
        <v>7.222222222222222</v>
      </c>
      <c r="T35" s="57">
        <v>1.4371358589653875</v>
      </c>
      <c r="U35" s="57">
        <v>-0.7777777777777777</v>
      </c>
      <c r="V35" s="184"/>
      <c r="W35" s="61"/>
      <c r="X35" s="55">
        <v>7.5</v>
      </c>
      <c r="Y35" s="57">
        <v>1.1602387022306428</v>
      </c>
      <c r="Z35" s="57">
        <v>0.5</v>
      </c>
      <c r="AA35" s="184"/>
      <c r="AB35" s="61"/>
      <c r="AC35" s="55">
        <v>7.5</v>
      </c>
      <c r="AD35" s="57">
        <v>1.1547005383792515</v>
      </c>
      <c r="AE35" s="57">
        <v>-0.5</v>
      </c>
      <c r="AF35" s="184"/>
      <c r="AG35" s="61"/>
      <c r="AH35" s="55">
        <v>6.84375</v>
      </c>
      <c r="AI35" s="57">
        <v>1.4343262065048754</v>
      </c>
      <c r="AJ35" s="57">
        <v>0.84375</v>
      </c>
      <c r="AK35" s="184"/>
      <c r="AL35" s="61"/>
      <c r="AM35" s="55">
        <v>7.020833333333333</v>
      </c>
      <c r="AN35" s="57">
        <v>1.2723382792990616</v>
      </c>
      <c r="AO35" s="66">
        <v>-1.979166666666667</v>
      </c>
      <c r="AP35" s="184"/>
      <c r="AQ35" s="61"/>
      <c r="AR35" s="55">
        <v>7.361111111111111</v>
      </c>
      <c r="AS35" s="63">
        <v>1.2103178429841277</v>
      </c>
      <c r="AT35" s="57">
        <v>-1.6388888888888893</v>
      </c>
      <c r="AU35" s="184"/>
      <c r="AV35" s="61"/>
      <c r="AW35" s="55">
        <v>7.923076923076923</v>
      </c>
      <c r="AX35" s="57">
        <v>1.1875421719907089</v>
      </c>
      <c r="AY35" s="57">
        <v>-0.07692307692307665</v>
      </c>
      <c r="AZ35" s="184"/>
      <c r="BA35" s="61"/>
      <c r="BB35" s="55">
        <v>7.4375</v>
      </c>
      <c r="BC35" s="57">
        <v>1.3647344063956182</v>
      </c>
      <c r="BD35" s="57">
        <v>1.4375</v>
      </c>
      <c r="BE35" s="590"/>
    </row>
    <row r="36" ht="52.5" customHeight="1">
      <c r="A36" s="180"/>
      <c r="B36" s="69"/>
      <c r="C36" s="140" t="s">
        <v>67</v>
      </c>
      <c r="D36" s="164"/>
      <c r="E36" s="69"/>
      <c r="F36" s="55">
        <f t="shared" si="1"/>
        <v>6.616295406</v>
      </c>
      <c r="G36" s="286"/>
      <c r="H36" s="69"/>
      <c r="I36" s="55">
        <v>7.0</v>
      </c>
      <c r="J36" s="63">
        <v>1.0954451150103321</v>
      </c>
      <c r="K36" s="146">
        <v>-1.0</v>
      </c>
      <c r="L36" s="184"/>
      <c r="M36" s="69"/>
      <c r="N36" s="55">
        <v>6.4</v>
      </c>
      <c r="O36" s="90">
        <v>0.828078671210825</v>
      </c>
      <c r="P36" s="57">
        <v>0.40000000000000036</v>
      </c>
      <c r="Q36" s="184"/>
      <c r="R36" s="69"/>
      <c r="S36" s="55">
        <v>6.666666666666667</v>
      </c>
      <c r="T36" s="86">
        <v>0.6183469424008422</v>
      </c>
      <c r="U36" s="682">
        <v>-0.833333333333333</v>
      </c>
      <c r="V36" s="184"/>
      <c r="W36" s="69"/>
      <c r="X36" s="55">
        <v>6.25</v>
      </c>
      <c r="Y36" s="57">
        <v>0.5801193511153214</v>
      </c>
      <c r="Z36" s="57">
        <v>0.25</v>
      </c>
      <c r="AA36" s="184"/>
      <c r="AB36" s="69"/>
      <c r="AC36" s="55">
        <v>6.78125</v>
      </c>
      <c r="AD36" s="57">
        <v>0.7520804478245662</v>
      </c>
      <c r="AE36" s="57">
        <v>-0.21875</v>
      </c>
      <c r="AF36" s="184"/>
      <c r="AG36" s="69"/>
      <c r="AH36" s="55">
        <v>6.5</v>
      </c>
      <c r="AI36" s="119">
        <v>0.8755950357709131</v>
      </c>
      <c r="AJ36" s="144">
        <v>0.5</v>
      </c>
      <c r="AK36" s="184"/>
      <c r="AL36" s="69"/>
      <c r="AM36" s="55">
        <v>6.541666666666667</v>
      </c>
      <c r="AN36" s="57">
        <v>0.8908201872772114</v>
      </c>
      <c r="AO36" s="66">
        <v>-1.458333333333333</v>
      </c>
      <c r="AP36" s="184"/>
      <c r="AQ36" s="69"/>
      <c r="AR36" s="55">
        <v>6.736111111111111</v>
      </c>
      <c r="AS36" s="90">
        <v>0.8422319010601527</v>
      </c>
      <c r="AT36" s="683">
        <v>0.7361111111111107</v>
      </c>
      <c r="AU36" s="184"/>
      <c r="AV36" s="69"/>
      <c r="AW36" s="55">
        <v>6.865384615384615</v>
      </c>
      <c r="AX36" s="236">
        <v>1.2690850732228016</v>
      </c>
      <c r="AY36" s="57">
        <v>0.865384615384615</v>
      </c>
      <c r="AZ36" s="184"/>
      <c r="BA36" s="69"/>
      <c r="BB36" s="55">
        <v>6.421875</v>
      </c>
      <c r="BC36" s="57">
        <v>0.9734763736218769</v>
      </c>
      <c r="BD36" s="438">
        <v>0.671875</v>
      </c>
      <c r="BE36" s="590"/>
    </row>
    <row r="37" ht="26.25" customHeight="1">
      <c r="A37" s="180"/>
      <c r="B37" s="289"/>
      <c r="C37" s="169"/>
      <c r="D37" s="164"/>
      <c r="E37" s="290" t="s">
        <v>68</v>
      </c>
      <c r="F37" s="291">
        <f>AVERAGE(F4:F36)</f>
        <v>6.865060435</v>
      </c>
      <c r="G37" s="286"/>
      <c r="H37" s="292" t="s">
        <v>68</v>
      </c>
      <c r="I37" s="291">
        <f>AVERAGE(I4:I36)</f>
        <v>7.568244949</v>
      </c>
      <c r="J37" s="555" t="s">
        <v>69</v>
      </c>
      <c r="K37" s="684">
        <f>(abs(K4)+abs(K5)+abs(K6)+abs(K7)+abs(K8)+abs(K9)+abs(K10)+abs(K11)+abs(K12)+abs(K13)+abs(K14)+abs(K15)+abs(K16)+abs(K17)+abs(K18)+abs(K19)+abs(K20)+abs(K21)+abs(K22)+abs(K23)+abs(K24)+abs(K25)+abs(K26)+abs(K27)+abs(K28)+abs(K29)+abs(K30)+abs(K31)+abs(K32)+abs(K33)+abs(K34)+abs(K35)+abs(K36))/COUNTA(K4:K36)</f>
        <v>0.8844065657</v>
      </c>
      <c r="L37" s="295"/>
      <c r="M37" s="296" t="s">
        <v>68</v>
      </c>
      <c r="N37" s="291">
        <f>AVERAGE(N4:N36)</f>
        <v>6.119393939</v>
      </c>
      <c r="O37" s="293" t="s">
        <v>69</v>
      </c>
      <c r="P37" s="685">
        <f>(abs(P4)+abs(P5)+abs(P6)+abs(P7)+abs(P8)+abs(P9)+abs(P10)+abs(P11)+abs(P12)+abs(P13)+abs(P14)+abs(P15)+abs(P16)+abs(P17)+abs(P18)+abs(P19)+abs(P20)+abs(P21)+abs(P22)+abs(P23)+abs(P24)+abs(P25)+abs(P26)+abs(P27)+abs(P28)+abs(P29)+abs(P30)+abs(P32)+abs(P33)+abs(P34)+abs(P35)+abs(P36))/COUNTA(P4:P36)</f>
        <v>0.9927272727</v>
      </c>
      <c r="Q37" s="295"/>
      <c r="R37" s="296" t="s">
        <v>68</v>
      </c>
      <c r="S37" s="291">
        <f>AVERAGE(S4:S36)</f>
        <v>6.826094276</v>
      </c>
      <c r="T37" s="293" t="s">
        <v>69</v>
      </c>
      <c r="U37" s="207">
        <f>(abs(U4)+abs(U5)+abs(U6)+abs(U7)+abs(U8)+abs(U9)+abs(U10)+abs(U11)+abs(U12)+abs(U13)+abs(U14)+abs(U15)+abs(U16)+abs(U17)+abs(U18)+abs(U19)+abs(U20)+abs(U21)+abs(U22)+abs(U23)+abs(U24)+abs(U25)+abs(U26)+abs(U27)+abs(U28)+abs(U29)+abs(U30)+abs(U31)+abs(U32)+abs(U33)+abs(U34)+abs(U35)++abs(U36))/COUNTA(U4:U36)</f>
        <v>1.146127946</v>
      </c>
      <c r="V37" s="295"/>
      <c r="W37" s="296" t="s">
        <v>68</v>
      </c>
      <c r="X37" s="291">
        <f>AVERAGE(X4:X36)</f>
        <v>6.326839827</v>
      </c>
      <c r="Y37" s="293" t="s">
        <v>69</v>
      </c>
      <c r="Z37" s="686">
        <f>(abs(Z4)+abs(Z5)+abs(Z6)+abs(Z7)+abs(Z8)+abs(Z9)+abs(Z10)+abs(Z11)+abs(Z12)+abs(Z13)+abs(Z14)+abs(Z15)+abs(Z16)+abs(Z17)+abs(Z18)+abs(Z19)+abs(Z20)+abs(Z21)+abs(Z22)+abs(Z23)+abs(Z24)+abs(Z25)+abs(Z26)+abs(Z27)+abs(Z28)+abs(Z29)+abs(Z30)+abs(Z31)+abs(Z32)+abs(Z33)+abs(Z34)+abs(Z35)+abs(Z36))/COUNTA(Z4:Z36)</f>
        <v>0.6612554113</v>
      </c>
      <c r="AA37" s="295"/>
      <c r="AB37" s="296" t="s">
        <v>68</v>
      </c>
      <c r="AC37" s="291">
        <f>AVERAGE(AC4:AC36)</f>
        <v>7.034564394</v>
      </c>
      <c r="AD37" s="293" t="s">
        <v>69</v>
      </c>
      <c r="AE37" s="686">
        <f>(abs(AE4)+abs(AE5)+abs(AE6)+abs(AE7)+abs(AE8)+abs(AE9)+abs(AE10)+abs(AE11)+abs(AE12)+abs(AE13)+abs(AE14)+abs(AE15)+abs(AE16)+abs(AE17)+abs(AE18)+abs(AE19)+abs(AE20)+abs(AE21)+abs(AE22)+abs(AE23)+abs(AE24)+abs(AE25)+abs(AE26)+abs(AE27)+abs(AE28)+abs(AE29)+abs(AE30)+abs(AE31)+abs(AE32)+abs(AE33)+abs(AE34)+abs(AE35)+abs(AE36))/COUNTA(AE4:AE36)</f>
        <v>0.8745265152</v>
      </c>
      <c r="AF37" s="295"/>
      <c r="AG37" s="296" t="s">
        <v>68</v>
      </c>
      <c r="AH37" s="291">
        <f>AVERAGE(AH4:AH36)</f>
        <v>6.852996881</v>
      </c>
      <c r="AI37" s="293" t="s">
        <v>69</v>
      </c>
      <c r="AJ37" s="687">
        <f>(abs(AJ4)+abs(AJ5)+abs(AJ6)+abs(AJ7)+abs(AJ8)+abs(AJ9)+abs(AJ10)+abs(AJ11)+abs(AJ12)+abs(AJ13)+abs(AJ14)+abs(AJ15)+abs(AJ16)+abs(AJ17)+abs(AJ18)+abs(AJ19)+abs(AJ20)+abs(AJ21)+abs(AJ22)+abs(AJ23)+abs(AJ24)+abs(AJ25)+abs(AJ26)+abs(AJ27)+abs(AJ28)+abs(AJ29)+abs(AJ30)+abs(AJ31)+abs(AJ32)+abs(AJ33)+abs(AJ34)+abs(AJ35)+abs(AJ36))/COUNTA(AJ4:AJ36)</f>
        <v>0.7118983957</v>
      </c>
      <c r="AK37" s="295"/>
      <c r="AL37" s="296" t="s">
        <v>68</v>
      </c>
      <c r="AM37" s="291">
        <f>AVERAGE(AM4:AM36)</f>
        <v>6.974747475</v>
      </c>
      <c r="AN37" s="293" t="s">
        <v>69</v>
      </c>
      <c r="AO37" s="688">
        <f>(abs(AO4)+abs(AO5)+abs(AO6)+abs(AO7)+abs(AO8)+abs(AO9)+abs(AO10)+abs(AO11)+abs(AO12)+abs(AO13)+abs(AO14)+abs(AO15)+abs(AO16)+abs(AO17)+abs(AO18)+abs(AO19)+abs(AO20)+abs(AO21)+abs(AO22)+abs(AO23)+abs(AO24)+abs(AO25)+abs(AO26)+abs(AO27)+abs(AO28)+abs(AO29)+abs(AO30)+abs(AO31)+abs(AO32)+abs(AO33)+abs(AO34)+abs(AO35)+abs(AO36))/COUNTA(AO4:AO36)</f>
        <v>0.7449494949</v>
      </c>
      <c r="AP37" s="557"/>
      <c r="AQ37" s="296" t="s">
        <v>68</v>
      </c>
      <c r="AR37" s="291">
        <f>AVERAGE(AR4:AR36)</f>
        <v>7.010615964</v>
      </c>
      <c r="AS37" s="293" t="s">
        <v>69</v>
      </c>
      <c r="AT37" s="207">
        <f>(abs(AT4)+abs(AT5)+abs(AT6)+abs(AT7)+abs(AT8)+abs(AT9)+abs(AT10)+abs(AT11)+abs(AT12)+abs(AT13)+abs(AT14)+abs(AT15)+abs(AT16)+abs(AT17)+abs(AT18)+abs(AT19)+abs(AT20)+abs(AT21)+abs(AT22)+abs(AT23)+abs(AT24)+abs(AT25)+abs(AT26)+abs(AT27)+abs(AT28)+abs(AT29)+abs(AT30)+abs(AT31)+abs(AT32)+abs(AT33)+abs(AT34)+abs(AT35)+abs(AT36))/COUNTA(AT4:AT36)</f>
        <v>0.9296197267</v>
      </c>
      <c r="AU37" s="557"/>
      <c r="AV37" s="296" t="s">
        <v>68</v>
      </c>
      <c r="AW37" s="291">
        <f>AVERAGE(AW4:AW36)</f>
        <v>6.903457653</v>
      </c>
      <c r="AX37" s="293" t="s">
        <v>69</v>
      </c>
      <c r="AY37" s="689">
        <f>(abs(AY4)+abs(AY5)+abs(AY6)+abs(AY7)+abs(AY8)+abs(AY9)+abs(AY10)+abs(AY11)+abs(AY12)+abs(AY13)+abs(AY14)+abs(AY15)+abs(AY16)+abs(AY17)+abs(AY18)+abs(AY19)+abs(AY20)+abs(AY21)+abs(AY22)+abs(AY23)+abs(AY24)+abs(AY25)+abs(AY26)+abs(AY27)+abs(AY28)+abs(AY29)+abs(AY30)+abs(AY31)+abs(AY32)+abs(AY33)+abs(AY34)+abs(AY35)+abs(AY36))/COUNTA(AY4:AY36)</f>
        <v>0.6202408702</v>
      </c>
      <c r="AZ37" s="557"/>
      <c r="BA37" s="296" t="s">
        <v>68</v>
      </c>
      <c r="BB37" s="291">
        <f>AVERAGE(BB4:BB36)</f>
        <v>7.03364899</v>
      </c>
      <c r="BC37" s="293" t="s">
        <v>69</v>
      </c>
      <c r="BD37" s="207">
        <f>(abs(BD4)+abs(BD5)+abs(BD6)+abs(BD7)+abs(BD8)+abs(BD9)+abs(BD10)+abs(BD11)+abs(BD12)+abs(BD13)+abs(BD14)+abs(BD15)+abs(BD16)+abs(BD17)+abs(BD18)+abs(BD19)+abs(BD20)+abs(BD21)+abs(BD22)+abs(BD23)+abs(BD24)+abs(BD25)+abs(BD26)+abs(BD27)+abs(BD28)+abs(BD29)+abs(BD30)+abs(BD31)+abs(BD32)+abs(BD33)+abs(BD34)+abs(BD35)++abs(BD36))/COUNTA(BD4:BD36)</f>
        <v>0.8366792929</v>
      </c>
      <c r="BE37" s="690"/>
    </row>
    <row r="38" ht="26.25" customHeight="1">
      <c r="A38" s="180"/>
      <c r="B38" s="289"/>
      <c r="C38" s="169"/>
      <c r="D38" s="164"/>
      <c r="E38" s="69"/>
      <c r="F38" s="69"/>
      <c r="G38" s="286"/>
      <c r="H38" s="69"/>
      <c r="I38" s="69"/>
      <c r="J38" s="69"/>
      <c r="K38" s="69"/>
      <c r="L38" s="295"/>
      <c r="M38" s="69"/>
      <c r="N38" s="69"/>
      <c r="O38" s="69"/>
      <c r="P38" s="69"/>
      <c r="Q38" s="295"/>
      <c r="R38" s="69"/>
      <c r="S38" s="69"/>
      <c r="T38" s="69"/>
      <c r="U38" s="69"/>
      <c r="V38" s="295"/>
      <c r="W38" s="69"/>
      <c r="X38" s="69"/>
      <c r="Y38" s="69"/>
      <c r="Z38" s="69"/>
      <c r="AA38" s="295"/>
      <c r="AB38" s="69"/>
      <c r="AC38" s="69"/>
      <c r="AD38" s="69"/>
      <c r="AE38" s="69"/>
      <c r="AF38" s="295"/>
      <c r="AG38" s="69"/>
      <c r="AH38" s="69"/>
      <c r="AI38" s="69"/>
      <c r="AJ38" s="69"/>
      <c r="AK38" s="295"/>
      <c r="AL38" s="69"/>
      <c r="AM38" s="69"/>
      <c r="AN38" s="69"/>
      <c r="AO38" s="69"/>
      <c r="AP38" s="557"/>
      <c r="AQ38" s="69"/>
      <c r="AR38" s="69"/>
      <c r="AS38" s="69"/>
      <c r="AT38" s="69"/>
      <c r="AU38" s="557"/>
      <c r="AV38" s="69"/>
      <c r="AW38" s="69"/>
      <c r="AX38" s="69"/>
      <c r="AY38" s="69"/>
      <c r="AZ38" s="557"/>
      <c r="BA38" s="69"/>
      <c r="BB38" s="69"/>
      <c r="BC38" s="69"/>
      <c r="BD38" s="69"/>
      <c r="BE38" s="690"/>
    </row>
    <row r="39" ht="21.75" customHeight="1">
      <c r="A39" s="180"/>
      <c r="B39" s="289"/>
      <c r="C39" s="169"/>
      <c r="D39" s="298"/>
      <c r="E39" s="298"/>
      <c r="F39" s="298"/>
      <c r="G39" s="169"/>
      <c r="H39" s="299"/>
      <c r="I39" s="299"/>
      <c r="J39" s="562"/>
      <c r="K39" s="299"/>
      <c r="L39" s="295"/>
      <c r="M39" s="299"/>
      <c r="N39" s="299"/>
      <c r="O39" s="299"/>
      <c r="P39" s="299"/>
      <c r="Q39" s="295"/>
      <c r="R39" s="299"/>
      <c r="S39" s="299"/>
      <c r="T39" s="299"/>
      <c r="U39" s="299"/>
      <c r="V39" s="295"/>
      <c r="W39" s="299"/>
      <c r="X39" s="299"/>
      <c r="Y39" s="299"/>
      <c r="Z39" s="299"/>
      <c r="AA39" s="295"/>
      <c r="AB39" s="299"/>
      <c r="AC39" s="299"/>
      <c r="AD39" s="299"/>
      <c r="AE39" s="299"/>
      <c r="AF39" s="295"/>
      <c r="AG39" s="299"/>
      <c r="AH39" s="299"/>
      <c r="AI39" s="299"/>
      <c r="AJ39" s="299"/>
      <c r="AK39" s="295"/>
      <c r="AL39" s="299"/>
      <c r="AM39" s="299"/>
      <c r="AN39" s="299"/>
      <c r="AO39" s="299"/>
      <c r="AP39" s="295"/>
      <c r="AQ39" s="299"/>
      <c r="AR39" s="299"/>
      <c r="AS39" s="299"/>
      <c r="AT39" s="299"/>
      <c r="AU39" s="295"/>
      <c r="AV39" s="299"/>
      <c r="AW39" s="299"/>
      <c r="AX39" s="299"/>
      <c r="AY39" s="299"/>
      <c r="AZ39" s="295"/>
      <c r="BA39" s="299"/>
      <c r="BB39" s="299"/>
      <c r="BC39" s="299"/>
      <c r="BD39" s="299"/>
      <c r="BE39" s="595"/>
    </row>
    <row r="40" ht="21.75" customHeight="1">
      <c r="A40" s="180"/>
      <c r="B40" s="289"/>
      <c r="C40" s="300" t="s">
        <v>70</v>
      </c>
      <c r="D40" s="169"/>
      <c r="E40" s="298"/>
      <c r="F40" s="298"/>
      <c r="G40" s="169"/>
      <c r="H40" s="301" t="s">
        <v>137</v>
      </c>
      <c r="I40" s="160"/>
      <c r="J40" s="160"/>
      <c r="K40" s="161"/>
      <c r="L40" s="302"/>
      <c r="M40" s="301" t="s">
        <v>138</v>
      </c>
      <c r="N40" s="160"/>
      <c r="O40" s="160"/>
      <c r="P40" s="161"/>
      <c r="Q40" s="302"/>
      <c r="R40" s="301" t="s">
        <v>139</v>
      </c>
      <c r="S40" s="160"/>
      <c r="T40" s="160"/>
      <c r="U40" s="161"/>
      <c r="V40" s="302"/>
      <c r="W40" s="301" t="s">
        <v>140</v>
      </c>
      <c r="X40" s="160"/>
      <c r="Y40" s="160"/>
      <c r="Z40" s="161"/>
      <c r="AA40" s="302"/>
      <c r="AB40" s="301" t="s">
        <v>141</v>
      </c>
      <c r="AC40" s="160"/>
      <c r="AD40" s="160"/>
      <c r="AE40" s="161"/>
      <c r="AF40" s="302"/>
      <c r="AG40" s="301" t="s">
        <v>142</v>
      </c>
      <c r="AH40" s="160"/>
      <c r="AI40" s="160"/>
      <c r="AJ40" s="161"/>
      <c r="AK40" s="302"/>
      <c r="AL40" s="301" t="s">
        <v>143</v>
      </c>
      <c r="AM40" s="160"/>
      <c r="AN40" s="160"/>
      <c r="AO40" s="161"/>
      <c r="AP40" s="302"/>
      <c r="AQ40" s="301" t="s">
        <v>144</v>
      </c>
      <c r="AR40" s="160"/>
      <c r="AS40" s="160"/>
      <c r="AT40" s="161"/>
      <c r="AU40" s="691"/>
      <c r="AV40" s="301" t="s">
        <v>145</v>
      </c>
      <c r="AW40" s="160"/>
      <c r="AX40" s="160"/>
      <c r="AY40" s="161"/>
      <c r="AZ40" s="691"/>
      <c r="BA40" s="301" t="s">
        <v>146</v>
      </c>
      <c r="BB40" s="160"/>
      <c r="BC40" s="160"/>
      <c r="BD40" s="161"/>
      <c r="BE40" s="692"/>
    </row>
    <row r="41" ht="21.75" customHeight="1">
      <c r="A41" s="304"/>
      <c r="B41" s="289"/>
      <c r="C41" s="305" t="s">
        <v>73</v>
      </c>
      <c r="D41" s="169"/>
      <c r="E41" s="298"/>
      <c r="F41" s="298"/>
      <c r="G41" s="169"/>
      <c r="H41" s="306" t="s">
        <v>147</v>
      </c>
      <c r="I41" s="307"/>
      <c r="J41" s="307"/>
      <c r="K41" s="308"/>
      <c r="L41" s="302"/>
      <c r="M41" s="301" t="s">
        <v>148</v>
      </c>
      <c r="N41" s="160"/>
      <c r="O41" s="160"/>
      <c r="P41" s="161"/>
      <c r="Q41" s="302"/>
      <c r="R41" s="301" t="s">
        <v>149</v>
      </c>
      <c r="S41" s="160"/>
      <c r="T41" s="160"/>
      <c r="U41" s="161"/>
      <c r="V41" s="302"/>
      <c r="W41" s="301" t="s">
        <v>150</v>
      </c>
      <c r="X41" s="160"/>
      <c r="Y41" s="160"/>
      <c r="Z41" s="161"/>
      <c r="AA41" s="302"/>
      <c r="AB41" s="301" t="s">
        <v>151</v>
      </c>
      <c r="AC41" s="160"/>
      <c r="AD41" s="160"/>
      <c r="AE41" s="161"/>
      <c r="AF41" s="302"/>
      <c r="AG41" s="301" t="s">
        <v>152</v>
      </c>
      <c r="AH41" s="160"/>
      <c r="AI41" s="160"/>
      <c r="AJ41" s="161"/>
      <c r="AK41" s="302"/>
      <c r="AL41" s="301" t="s">
        <v>153</v>
      </c>
      <c r="AM41" s="160"/>
      <c r="AN41" s="160"/>
      <c r="AO41" s="161"/>
      <c r="AP41" s="302"/>
      <c r="AQ41" s="301" t="s">
        <v>154</v>
      </c>
      <c r="AR41" s="160"/>
      <c r="AS41" s="160"/>
      <c r="AT41" s="161"/>
      <c r="AU41" s="691"/>
      <c r="AV41" s="301" t="s">
        <v>155</v>
      </c>
      <c r="AW41" s="160"/>
      <c r="AX41" s="160"/>
      <c r="AY41" s="161"/>
      <c r="AZ41" s="691"/>
      <c r="BA41" s="301" t="s">
        <v>156</v>
      </c>
      <c r="BB41" s="160"/>
      <c r="BC41" s="160"/>
      <c r="BD41" s="161"/>
      <c r="BE41" s="692"/>
    </row>
    <row r="42">
      <c r="A42" s="169"/>
      <c r="B42" s="289"/>
      <c r="C42" s="169"/>
      <c r="D42" s="169"/>
      <c r="E42" s="298"/>
      <c r="F42" s="298"/>
      <c r="G42" s="169"/>
      <c r="H42" s="169"/>
      <c r="I42" s="169"/>
      <c r="J42" s="569"/>
      <c r="K42" s="169"/>
      <c r="L42" s="169"/>
      <c r="M42" s="169"/>
      <c r="N42" s="169"/>
      <c r="O42" s="169"/>
      <c r="P42" s="169"/>
      <c r="Q42" s="169"/>
      <c r="R42" s="169"/>
      <c r="S42" s="169"/>
      <c r="T42" s="169"/>
      <c r="U42" s="169"/>
      <c r="V42" s="169"/>
      <c r="W42" s="169"/>
      <c r="X42" s="169"/>
      <c r="Y42" s="169"/>
      <c r="Z42" s="169"/>
      <c r="AA42" s="169"/>
      <c r="AB42" s="169"/>
      <c r="AC42" s="169"/>
      <c r="AD42" s="169"/>
      <c r="AE42" s="169"/>
      <c r="AF42" s="568"/>
      <c r="AG42" s="568"/>
      <c r="AH42" s="568"/>
      <c r="AI42" s="568"/>
      <c r="AJ42" s="568"/>
      <c r="AK42" s="568"/>
      <c r="AL42" s="568"/>
      <c r="AM42" s="568"/>
      <c r="AN42" s="568"/>
      <c r="AO42" s="568"/>
      <c r="AP42" s="298"/>
      <c r="AQ42" s="568"/>
      <c r="AR42" s="568"/>
      <c r="AS42" s="568"/>
      <c r="AT42" s="568"/>
      <c r="AU42" s="568"/>
      <c r="AV42" s="568"/>
      <c r="AW42" s="568"/>
      <c r="AX42" s="568"/>
      <c r="AY42" s="568"/>
      <c r="AZ42" s="568"/>
      <c r="BA42" s="568"/>
      <c r="BB42" s="568"/>
      <c r="BC42" s="568"/>
      <c r="BD42" s="568"/>
      <c r="BE42" s="190"/>
    </row>
    <row r="43" ht="22.5" customHeight="1">
      <c r="A43" s="169"/>
      <c r="B43" s="289"/>
      <c r="C43" s="169"/>
      <c r="D43" s="169"/>
      <c r="E43" s="169"/>
      <c r="F43" s="169"/>
      <c r="G43" s="169"/>
      <c r="H43" s="169"/>
      <c r="I43" s="169"/>
      <c r="J43" s="569"/>
      <c r="K43" s="169"/>
      <c r="L43" s="169"/>
      <c r="M43" s="169"/>
      <c r="N43" s="169"/>
      <c r="O43" s="169"/>
      <c r="P43" s="169"/>
      <c r="Q43" s="169"/>
      <c r="R43" s="169"/>
      <c r="S43" s="169"/>
      <c r="T43" s="169"/>
      <c r="U43" s="169"/>
      <c r="V43" s="169"/>
      <c r="W43" s="169"/>
      <c r="X43" s="169"/>
      <c r="Y43" s="169"/>
      <c r="Z43" s="169"/>
      <c r="AA43" s="169"/>
      <c r="AB43" s="169"/>
      <c r="AC43" s="169"/>
      <c r="AD43" s="169"/>
      <c r="AE43" s="169"/>
      <c r="AF43" s="568"/>
      <c r="AG43" s="568"/>
      <c r="AH43" s="568"/>
      <c r="AI43" s="568"/>
      <c r="AJ43" s="568"/>
      <c r="AK43" s="568"/>
      <c r="AL43" s="568"/>
      <c r="AM43" s="568"/>
      <c r="AN43" s="568"/>
      <c r="AO43" s="568"/>
      <c r="AP43" s="298"/>
      <c r="AQ43" s="568"/>
      <c r="AR43" s="568"/>
      <c r="AS43" s="568"/>
      <c r="AT43" s="568"/>
      <c r="AU43" s="568"/>
      <c r="AV43" s="568"/>
      <c r="AW43" s="568"/>
      <c r="AX43" s="568"/>
      <c r="AY43" s="568"/>
      <c r="AZ43" s="568"/>
      <c r="BA43" s="568"/>
      <c r="BB43" s="568"/>
      <c r="BC43" s="568"/>
      <c r="BD43" s="568"/>
      <c r="BE43" s="190"/>
    </row>
  </sheetData>
  <mergeCells count="145">
    <mergeCell ref="AL2:AO2"/>
    <mergeCell ref="AQ2:AT2"/>
    <mergeCell ref="AV2:AY2"/>
    <mergeCell ref="BA2:BD2"/>
    <mergeCell ref="AG2:AJ2"/>
    <mergeCell ref="AG4:AG8"/>
    <mergeCell ref="AL4:AL8"/>
    <mergeCell ref="AQ4:AQ8"/>
    <mergeCell ref="AV4:AV8"/>
    <mergeCell ref="BA4:BA8"/>
    <mergeCell ref="H2:K2"/>
    <mergeCell ref="R2:U2"/>
    <mergeCell ref="AB2:AE2"/>
    <mergeCell ref="B4:B8"/>
    <mergeCell ref="H4:H8"/>
    <mergeCell ref="R4:R8"/>
    <mergeCell ref="AB4:AB8"/>
    <mergeCell ref="AV9:AV14"/>
    <mergeCell ref="BA9:BA14"/>
    <mergeCell ref="W2:Z2"/>
    <mergeCell ref="W4:W8"/>
    <mergeCell ref="W9:W14"/>
    <mergeCell ref="AB9:AB14"/>
    <mergeCell ref="AG9:AG14"/>
    <mergeCell ref="AL9:AL14"/>
    <mergeCell ref="AQ9:AQ14"/>
    <mergeCell ref="AB15:AB20"/>
    <mergeCell ref="AG15:AG20"/>
    <mergeCell ref="AL15:AL20"/>
    <mergeCell ref="AQ15:AQ20"/>
    <mergeCell ref="AV15:AV20"/>
    <mergeCell ref="BA15:BA20"/>
    <mergeCell ref="M2:P2"/>
    <mergeCell ref="M4:M8"/>
    <mergeCell ref="M9:M14"/>
    <mergeCell ref="R9:R14"/>
    <mergeCell ref="M15:M20"/>
    <mergeCell ref="R15:R20"/>
    <mergeCell ref="W15:W20"/>
    <mergeCell ref="AL21:AL24"/>
    <mergeCell ref="AQ21:AQ24"/>
    <mergeCell ref="AV21:AV24"/>
    <mergeCell ref="BA21:BA24"/>
    <mergeCell ref="H15:H20"/>
    <mergeCell ref="H21:H24"/>
    <mergeCell ref="M21:M24"/>
    <mergeCell ref="R21:R24"/>
    <mergeCell ref="W21:W24"/>
    <mergeCell ref="AB21:AB24"/>
    <mergeCell ref="AG21:AG24"/>
    <mergeCell ref="E2:F2"/>
    <mergeCell ref="E4:E8"/>
    <mergeCell ref="B9:B14"/>
    <mergeCell ref="E9:E14"/>
    <mergeCell ref="H9:H14"/>
    <mergeCell ref="E15:E20"/>
    <mergeCell ref="E21:E24"/>
    <mergeCell ref="AL25:AL29"/>
    <mergeCell ref="AQ25:AQ29"/>
    <mergeCell ref="AV25:AV29"/>
    <mergeCell ref="BA25:BA29"/>
    <mergeCell ref="E25:E29"/>
    <mergeCell ref="H25:H29"/>
    <mergeCell ref="M25:M29"/>
    <mergeCell ref="R25:R29"/>
    <mergeCell ref="W25:W29"/>
    <mergeCell ref="AB25:AB29"/>
    <mergeCell ref="AG25:AG29"/>
    <mergeCell ref="R30:R36"/>
    <mergeCell ref="W30:W36"/>
    <mergeCell ref="AB30:AB36"/>
    <mergeCell ref="AG30:AG36"/>
    <mergeCell ref="AL30:AL36"/>
    <mergeCell ref="AQ30:AQ36"/>
    <mergeCell ref="AV30:AV36"/>
    <mergeCell ref="BA30:BA36"/>
    <mergeCell ref="B15:B20"/>
    <mergeCell ref="B21:B24"/>
    <mergeCell ref="B25:B29"/>
    <mergeCell ref="B30:B36"/>
    <mergeCell ref="E30:E36"/>
    <mergeCell ref="H30:H36"/>
    <mergeCell ref="M30:M36"/>
    <mergeCell ref="N37:N38"/>
    <mergeCell ref="O37:O38"/>
    <mergeCell ref="P37:P38"/>
    <mergeCell ref="R37:R38"/>
    <mergeCell ref="S37:S38"/>
    <mergeCell ref="T37:T38"/>
    <mergeCell ref="U37:U38"/>
    <mergeCell ref="E37:E38"/>
    <mergeCell ref="F37:F38"/>
    <mergeCell ref="H37:H38"/>
    <mergeCell ref="I37:I38"/>
    <mergeCell ref="J37:J38"/>
    <mergeCell ref="K37:K38"/>
    <mergeCell ref="M37:M38"/>
    <mergeCell ref="W37:W38"/>
    <mergeCell ref="X37:X38"/>
    <mergeCell ref="Y37:Y38"/>
    <mergeCell ref="Z37:Z38"/>
    <mergeCell ref="AB37:AB38"/>
    <mergeCell ref="AC37:AC38"/>
    <mergeCell ref="AD37:AD38"/>
    <mergeCell ref="AE37:AE38"/>
    <mergeCell ref="AG37:AG38"/>
    <mergeCell ref="AH37:AH38"/>
    <mergeCell ref="AI37:AI38"/>
    <mergeCell ref="AJ37:AJ38"/>
    <mergeCell ref="AL37:AL38"/>
    <mergeCell ref="AM37:AM38"/>
    <mergeCell ref="AW37:AW38"/>
    <mergeCell ref="AX37:AX38"/>
    <mergeCell ref="AY37:AY38"/>
    <mergeCell ref="BA37:BA38"/>
    <mergeCell ref="BB37:BB38"/>
    <mergeCell ref="BC37:BC38"/>
    <mergeCell ref="BD37:BD38"/>
    <mergeCell ref="AN37:AN38"/>
    <mergeCell ref="AO37:AO38"/>
    <mergeCell ref="AQ37:AQ38"/>
    <mergeCell ref="AR37:AR38"/>
    <mergeCell ref="AS37:AS38"/>
    <mergeCell ref="AT37:AT38"/>
    <mergeCell ref="AV37:AV38"/>
    <mergeCell ref="AQ40:AT40"/>
    <mergeCell ref="AV40:AY40"/>
    <mergeCell ref="BA40:BD40"/>
    <mergeCell ref="H40:K40"/>
    <mergeCell ref="M40:P40"/>
    <mergeCell ref="R40:U40"/>
    <mergeCell ref="W40:Z40"/>
    <mergeCell ref="AB40:AE40"/>
    <mergeCell ref="AG40:AJ40"/>
    <mergeCell ref="AL40:AO40"/>
    <mergeCell ref="AQ41:AT41"/>
    <mergeCell ref="AV41:AY41"/>
    <mergeCell ref="BA41:BD41"/>
    <mergeCell ref="H41:K41"/>
    <mergeCell ref="M41:P41"/>
    <mergeCell ref="R41:U41"/>
    <mergeCell ref="W41:Z41"/>
    <mergeCell ref="AB41:AE41"/>
    <mergeCell ref="AG41:AJ41"/>
    <mergeCell ref="AL41:AO41"/>
  </mergeCells>
  <conditionalFormatting sqref="E4:E36 F4:F42 H4:H36 I4:I39 M4:M36 N4:N39 R4:R36 S4:S39 W4:W36 X4:X39 AB4:AB36 AC4:AC39 AG4:AG36 AH4:AH39 AL4:AL36 AM4:AM39 AQ4:AQ36 AR4:AR39 AV4:AV36 AW4:AW39 BA4:BA36 BB4:BB39">
    <cfRule type="cellIs" dxfId="1" priority="1" operator="greaterThan">
      <formula>8</formula>
    </cfRule>
  </conditionalFormatting>
  <conditionalFormatting sqref="E4:E36 F4:F42 H4:H36 I4:I39 M4:M36 N4:N39 R4:R36 S4:S39 W4:W36 X4:X39 AB4:AB36 AC4:AC39 AG4:AG36 AH4:AH39 AL4:AL36 AM4:AM39 AQ4:AQ36 AR4:AR39 AV4:AV36 AW4:AW39 BA4:BA36 BB4:BB39">
    <cfRule type="cellIs" dxfId="2" priority="2" operator="between">
      <formula>7.000001</formula>
      <formula>8</formula>
    </cfRule>
  </conditionalFormatting>
  <conditionalFormatting sqref="E4:E36 F4:F42 H4:H36 I4:I39 M4:M36 N4:N39 R4:R36 S4:S39 W4:W36 X4:X39 AB4:AB36 AC4:AC39 AG4:AG36 AH4:AH39 AL4:AL36 AM4:AM39 AQ4:AQ36 AR4:AR39 AV4:AV36 AW4:AW39 BA4:BA36 BB4:BB39">
    <cfRule type="cellIs" dxfId="3" priority="3" operator="between">
      <formula>6.500001</formula>
      <formula>7</formula>
    </cfRule>
  </conditionalFormatting>
  <conditionalFormatting sqref="E4:E36 F4:F42 H4:H36 I4:I39 M4:M36 N4:N39 R4:R36 S4:S39 W4:W36 X4:X39 AB4:AB36 AC4:AC39 AG4:AG36 AH4:AH39 AL4:AL36 AM4:AM39 AQ4:AQ36 AR4:AR39 AV4:AV36 AW4:AW39 BA4:BA36 BB4:BB39">
    <cfRule type="cellIs" dxfId="6" priority="4" operator="between">
      <formula>0</formula>
      <formula>5.5</formula>
    </cfRule>
  </conditionalFormatting>
  <conditionalFormatting sqref="E4:E36 F4:F42 H4:H36 I4:I39 M4:M36 N4:N39 R4:R36 S4:S39 W4:W36 X4:X39 AB4:AB36 AC4:AC39 AG4:AG36 AH4:AH39 AL4:AL36 AM4:AM39 AQ4:AQ36 AR4:AR39 AV4:AV36 AW4:AW39 BA4:BA36 BB4:BB39">
    <cfRule type="cellIs" dxfId="4" priority="5" operator="between">
      <formula>5.50001</formula>
      <formula>6</formula>
    </cfRule>
  </conditionalFormatting>
  <conditionalFormatting sqref="E4:E36 F4:F42 H4:H36 I4:I39 M4:M36 N4:N39 R4:R36 S4:S39 W4:W36 X4:X39 AB4:AB36 AC4:AC39 AG4:AG36 AH4:AH39 AL4:AL36 AM4:AM39 AQ4:AQ36 AR4:AR39 AV4:AV36 AW4:AW39 BA4:BA36 BB4:BB39">
    <cfRule type="cellIs" dxfId="5" priority="6" operator="between">
      <formula>6.00001</formula>
      <formula>6.5</formula>
    </cfRule>
  </conditionalFormatting>
  <conditionalFormatting sqref="K4:K38 P4:P38 U4:U38 Z4:Z38 AE4:AE38 AJ4:AJ38 AO4:AO38 AT4:AT38 AY4:AY38">
    <cfRule type="cellIs" dxfId="7" priority="7" operator="lessThan">
      <formula>-0.8</formula>
    </cfRule>
  </conditionalFormatting>
  <conditionalFormatting sqref="K4:K38 P4:P38 U4:U38 Z4:Z38 AE4:AE38 AJ4:AJ38 AO4:AO38 AT4:AT38 AY4:AY38">
    <cfRule type="cellIs" dxfId="8" priority="8" operator="between">
      <formula>-0.8</formula>
      <formula>0.8</formula>
    </cfRule>
  </conditionalFormatting>
  <conditionalFormatting sqref="K4:K38 P4:P38 U4:U38 Z4:Z38 AE4:AE38 AJ4:AJ38 AO4:AO38 AT4:AT38 AY4:AY38">
    <cfRule type="cellIs" dxfId="11" priority="9" operator="greaterThan">
      <formula>0.8</formula>
    </cfRule>
  </conditionalFormatting>
  <conditionalFormatting sqref="K4">
    <cfRule type="notContainsBlanks" dxfId="0" priority="10">
      <formula>LEN(TRIM(K4))&gt;0</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11.57"/>
    <col customWidth="1" min="2" max="2" width="51.0"/>
    <col customWidth="1" min="3" max="3" width="58.71"/>
    <col customWidth="1" min="4" max="4" width="8.71"/>
    <col customWidth="1" min="5" max="6" width="21.57"/>
    <col customWidth="1" min="7" max="7" width="8.71"/>
    <col customWidth="1" min="8" max="9" width="21.57"/>
    <col customWidth="1" min="10" max="10" width="8.71"/>
    <col customWidth="1" min="11" max="12" width="12.43"/>
  </cols>
  <sheetData>
    <row r="1" ht="70.5" customHeight="1">
      <c r="A1" s="693" t="s">
        <v>157</v>
      </c>
    </row>
    <row r="2">
      <c r="A2" s="694"/>
      <c r="B2" s="695"/>
      <c r="C2" s="696"/>
      <c r="D2" s="695"/>
      <c r="E2" s="695"/>
      <c r="F2" s="695"/>
      <c r="G2" s="695"/>
      <c r="H2" s="695"/>
      <c r="I2" s="695"/>
      <c r="J2" s="695"/>
      <c r="K2" s="697"/>
      <c r="L2" s="697"/>
    </row>
    <row r="3">
      <c r="A3" s="698" t="s">
        <v>158</v>
      </c>
      <c r="B3" s="699">
        <v>44614.0</v>
      </c>
      <c r="C3" s="698" t="s">
        <v>159</v>
      </c>
      <c r="D3" s="700"/>
      <c r="E3" s="701">
        <v>44583.0</v>
      </c>
      <c r="F3" s="311"/>
      <c r="G3" s="700"/>
      <c r="H3" s="701">
        <v>44614.0</v>
      </c>
      <c r="I3" s="311"/>
      <c r="J3" s="700"/>
      <c r="K3" s="702" t="s">
        <v>160</v>
      </c>
      <c r="L3" s="703"/>
    </row>
    <row r="4">
      <c r="A4" s="69"/>
      <c r="B4" s="69"/>
      <c r="C4" s="69"/>
      <c r="D4" s="700"/>
      <c r="E4" s="704" t="s">
        <v>27</v>
      </c>
      <c r="F4" s="704" t="s">
        <v>4</v>
      </c>
      <c r="G4" s="700"/>
      <c r="H4" s="704" t="s">
        <v>27</v>
      </c>
      <c r="I4" s="704" t="s">
        <v>4</v>
      </c>
      <c r="J4" s="700"/>
      <c r="K4" s="705"/>
      <c r="L4" s="315"/>
    </row>
    <row r="5" ht="52.5" customHeight="1">
      <c r="A5" s="706" t="s">
        <v>29</v>
      </c>
      <c r="B5" s="707" t="s">
        <v>161</v>
      </c>
      <c r="C5" s="708" t="s">
        <v>162</v>
      </c>
      <c r="D5" s="700"/>
      <c r="E5" s="709">
        <f>AVERAGE(F5:F8)</f>
        <v>7.947940503</v>
      </c>
      <c r="F5" s="326">
        <v>7.913043478260869</v>
      </c>
      <c r="G5" s="700"/>
      <c r="H5" s="709">
        <f>AVERAGE(I5:I8)</f>
        <v>7.947940503</v>
      </c>
      <c r="I5" s="326">
        <v>7.913043478260869</v>
      </c>
      <c r="J5" s="700"/>
      <c r="K5" s="710">
        <f t="shared" ref="K5:L5" si="1">IFERROR(H5-E5,"X")</f>
        <v>0</v>
      </c>
      <c r="L5" s="711">
        <f t="shared" si="1"/>
        <v>0</v>
      </c>
    </row>
    <row r="6" ht="52.5" customHeight="1">
      <c r="A6" s="61"/>
      <c r="B6" s="712" t="s">
        <v>32</v>
      </c>
      <c r="C6" s="713" t="s">
        <v>32</v>
      </c>
      <c r="D6" s="700"/>
      <c r="E6" s="61"/>
      <c r="F6" s="326">
        <v>8.173913043478262</v>
      </c>
      <c r="G6" s="700"/>
      <c r="H6" s="61"/>
      <c r="I6" s="326">
        <v>8.173913043478262</v>
      </c>
      <c r="J6" s="700"/>
      <c r="K6" s="61"/>
      <c r="L6" s="711">
        <f t="shared" ref="L6:L8" si="2">IFERROR(I6-F6,"X")</f>
        <v>0</v>
      </c>
    </row>
    <row r="7" ht="52.5" customHeight="1">
      <c r="A7" s="61"/>
      <c r="B7" s="712" t="s">
        <v>163</v>
      </c>
      <c r="C7" s="713" t="s">
        <v>164</v>
      </c>
      <c r="D7" s="700"/>
      <c r="E7" s="61"/>
      <c r="F7" s="326">
        <v>7.6521739130434785</v>
      </c>
      <c r="G7" s="700"/>
      <c r="H7" s="61"/>
      <c r="I7" s="326">
        <v>7.6521739130434785</v>
      </c>
      <c r="J7" s="700"/>
      <c r="K7" s="61"/>
      <c r="L7" s="711">
        <f t="shared" si="2"/>
        <v>0</v>
      </c>
    </row>
    <row r="8" ht="52.5" customHeight="1">
      <c r="A8" s="69"/>
      <c r="B8" s="712" t="s">
        <v>165</v>
      </c>
      <c r="C8" s="713" t="s">
        <v>166</v>
      </c>
      <c r="D8" s="700"/>
      <c r="E8" s="69"/>
      <c r="F8" s="326">
        <v>8.052631578947368</v>
      </c>
      <c r="G8" s="700"/>
      <c r="H8" s="69"/>
      <c r="I8" s="326">
        <v>8.052631578947368</v>
      </c>
      <c r="J8" s="700"/>
      <c r="K8" s="61"/>
      <c r="L8" s="711">
        <f t="shared" si="2"/>
        <v>0</v>
      </c>
    </row>
    <row r="9" ht="52.5" customHeight="1">
      <c r="A9" s="714" t="s">
        <v>35</v>
      </c>
      <c r="B9" s="712" t="s">
        <v>166</v>
      </c>
      <c r="C9" s="715" t="s">
        <v>167</v>
      </c>
      <c r="D9" s="700"/>
      <c r="E9" s="709">
        <f>AVERAGE(F9:F17)</f>
        <v>8.382938076</v>
      </c>
      <c r="F9" s="326">
        <v>8.6</v>
      </c>
      <c r="G9" s="700"/>
      <c r="H9" s="709">
        <f>AVERAGE(I9:I17)</f>
        <v>8.382938076</v>
      </c>
      <c r="I9" s="326">
        <v>8.6</v>
      </c>
      <c r="J9" s="700"/>
      <c r="K9" s="710">
        <f t="shared" ref="K9:L9" si="3">IFERROR(H10-E10,"X")</f>
        <v>0</v>
      </c>
      <c r="L9" s="711">
        <f t="shared" si="3"/>
        <v>0</v>
      </c>
    </row>
    <row r="10" ht="52.5" customHeight="1">
      <c r="A10" s="61"/>
      <c r="B10" s="716" t="s">
        <v>167</v>
      </c>
      <c r="C10" s="715" t="s">
        <v>168</v>
      </c>
      <c r="D10" s="700"/>
      <c r="E10" s="61"/>
      <c r="F10" s="326">
        <v>8.409090909090908</v>
      </c>
      <c r="G10" s="700"/>
      <c r="H10" s="61"/>
      <c r="I10" s="326">
        <v>8.409090909090908</v>
      </c>
      <c r="J10" s="700"/>
      <c r="K10" s="61"/>
      <c r="L10" s="711">
        <f t="shared" ref="L10:L17" si="4">IFERROR(I11-F11,"X")</f>
        <v>0</v>
      </c>
    </row>
    <row r="11" ht="52.5" customHeight="1">
      <c r="A11" s="61"/>
      <c r="B11" s="716" t="s">
        <v>169</v>
      </c>
      <c r="C11" s="715" t="s">
        <v>37</v>
      </c>
      <c r="D11" s="700"/>
      <c r="E11" s="61"/>
      <c r="F11" s="326">
        <v>8.05</v>
      </c>
      <c r="G11" s="700"/>
      <c r="H11" s="61"/>
      <c r="I11" s="326">
        <v>8.05</v>
      </c>
      <c r="J11" s="700"/>
      <c r="K11" s="61"/>
      <c r="L11" s="711">
        <f t="shared" si="4"/>
        <v>0</v>
      </c>
    </row>
    <row r="12" ht="52.5" customHeight="1">
      <c r="A12" s="61"/>
      <c r="B12" s="716" t="s">
        <v>170</v>
      </c>
      <c r="C12" s="715" t="s">
        <v>47</v>
      </c>
      <c r="D12" s="700"/>
      <c r="E12" s="61"/>
      <c r="F12" s="326">
        <v>8.782608695652174</v>
      </c>
      <c r="G12" s="700"/>
      <c r="H12" s="61"/>
      <c r="I12" s="326">
        <v>8.782608695652174</v>
      </c>
      <c r="J12" s="700"/>
      <c r="K12" s="61"/>
      <c r="L12" s="711">
        <f t="shared" si="4"/>
        <v>0</v>
      </c>
    </row>
    <row r="13" ht="52.5" customHeight="1">
      <c r="A13" s="61"/>
      <c r="B13" s="716" t="s">
        <v>47</v>
      </c>
      <c r="C13" s="715" t="s">
        <v>40</v>
      </c>
      <c r="D13" s="700"/>
      <c r="E13" s="61"/>
      <c r="F13" s="326">
        <v>8.608695652173912</v>
      </c>
      <c r="G13" s="700"/>
      <c r="H13" s="61"/>
      <c r="I13" s="326">
        <v>8.608695652173912</v>
      </c>
      <c r="J13" s="700"/>
      <c r="K13" s="61"/>
      <c r="L13" s="711">
        <f t="shared" si="4"/>
        <v>0</v>
      </c>
    </row>
    <row r="14" ht="52.5" customHeight="1">
      <c r="A14" s="61"/>
      <c r="B14" s="716" t="s">
        <v>40</v>
      </c>
      <c r="C14" s="715" t="s">
        <v>67</v>
      </c>
      <c r="D14" s="717"/>
      <c r="E14" s="61"/>
      <c r="F14" s="326">
        <v>8.727272727272727</v>
      </c>
      <c r="G14" s="700"/>
      <c r="H14" s="61"/>
      <c r="I14" s="326">
        <v>8.727272727272727</v>
      </c>
      <c r="J14" s="700"/>
      <c r="K14" s="61"/>
      <c r="L14" s="711">
        <f t="shared" si="4"/>
        <v>0</v>
      </c>
    </row>
    <row r="15" ht="52.5" customHeight="1">
      <c r="A15" s="61"/>
      <c r="B15" s="716" t="s">
        <v>171</v>
      </c>
      <c r="C15" s="715" t="s">
        <v>172</v>
      </c>
      <c r="D15" s="717"/>
      <c r="E15" s="61"/>
      <c r="F15" s="326">
        <v>8.826086956521738</v>
      </c>
      <c r="G15" s="700"/>
      <c r="H15" s="61"/>
      <c r="I15" s="326">
        <v>8.826086956521738</v>
      </c>
      <c r="J15" s="700"/>
      <c r="K15" s="61"/>
      <c r="L15" s="711">
        <f t="shared" si="4"/>
        <v>0</v>
      </c>
    </row>
    <row r="16" ht="52.5" customHeight="1">
      <c r="A16" s="61"/>
      <c r="B16" s="716" t="s">
        <v>172</v>
      </c>
      <c r="C16" s="715" t="s">
        <v>38</v>
      </c>
      <c r="D16" s="717"/>
      <c r="E16" s="61"/>
      <c r="F16" s="326">
        <v>8.26086956521739</v>
      </c>
      <c r="G16" s="700"/>
      <c r="H16" s="61"/>
      <c r="I16" s="326">
        <v>8.26086956521739</v>
      </c>
      <c r="J16" s="700"/>
      <c r="K16" s="61"/>
      <c r="L16" s="711">
        <f t="shared" si="4"/>
        <v>0</v>
      </c>
    </row>
    <row r="17" ht="52.5" customHeight="1">
      <c r="A17" s="69"/>
      <c r="B17" s="716" t="s">
        <v>173</v>
      </c>
      <c r="C17" s="715" t="s">
        <v>39</v>
      </c>
      <c r="D17" s="717"/>
      <c r="E17" s="69"/>
      <c r="F17" s="326">
        <v>7.181818181818182</v>
      </c>
      <c r="G17" s="700"/>
      <c r="H17" s="69"/>
      <c r="I17" s="326">
        <v>7.181818181818182</v>
      </c>
      <c r="J17" s="700"/>
      <c r="K17" s="61"/>
      <c r="L17" s="711">
        <f t="shared" si="4"/>
        <v>0</v>
      </c>
    </row>
    <row r="18" ht="52.5" customHeight="1">
      <c r="A18" s="718" t="s">
        <v>42</v>
      </c>
      <c r="B18" s="716" t="s">
        <v>38</v>
      </c>
      <c r="C18" s="719" t="s">
        <v>41</v>
      </c>
      <c r="D18" s="717"/>
      <c r="E18" s="709">
        <f>AVERAGE(F18:F22)</f>
        <v>8.354765042</v>
      </c>
      <c r="F18" s="326">
        <v>8.782608695652174</v>
      </c>
      <c r="G18" s="700"/>
      <c r="H18" s="709">
        <f>AVERAGE(I18:I22)</f>
        <v>8.354765042</v>
      </c>
      <c r="I18" s="326">
        <v>8.782608695652174</v>
      </c>
      <c r="J18" s="700"/>
      <c r="K18" s="710">
        <f t="shared" ref="K18:L18" si="5">IFERROR(H20-E20,"X")</f>
        <v>0</v>
      </c>
      <c r="L18" s="711">
        <f t="shared" si="5"/>
        <v>0</v>
      </c>
    </row>
    <row r="19" ht="52.5" customHeight="1">
      <c r="A19" s="61"/>
      <c r="B19" s="716" t="s">
        <v>174</v>
      </c>
      <c r="C19" s="719" t="s">
        <v>43</v>
      </c>
      <c r="D19" s="717"/>
      <c r="E19" s="61"/>
      <c r="F19" s="326">
        <v>8.304347826086957</v>
      </c>
      <c r="G19" s="700"/>
      <c r="H19" s="61"/>
      <c r="I19" s="326">
        <v>8.304347826086957</v>
      </c>
      <c r="J19" s="700"/>
      <c r="K19" s="61"/>
      <c r="L19" s="711">
        <f t="shared" ref="L19:L22" si="6">IFERROR(I21-F21,"X")</f>
        <v>0</v>
      </c>
    </row>
    <row r="20" ht="52.5" customHeight="1">
      <c r="A20" s="61"/>
      <c r="B20" s="720" t="s">
        <v>41</v>
      </c>
      <c r="C20" s="719" t="s">
        <v>175</v>
      </c>
      <c r="D20" s="717"/>
      <c r="E20" s="61"/>
      <c r="F20" s="326">
        <v>8.227272727272727</v>
      </c>
      <c r="G20" s="700"/>
      <c r="H20" s="61"/>
      <c r="I20" s="326">
        <v>8.227272727272727</v>
      </c>
      <c r="J20" s="700"/>
      <c r="K20" s="61"/>
      <c r="L20" s="711">
        <f t="shared" si="6"/>
        <v>0</v>
      </c>
    </row>
    <row r="21" ht="52.5" customHeight="1">
      <c r="A21" s="61"/>
      <c r="B21" s="720" t="s">
        <v>176</v>
      </c>
      <c r="C21" s="719" t="s">
        <v>45</v>
      </c>
      <c r="D21" s="717"/>
      <c r="E21" s="61"/>
      <c r="F21" s="326">
        <v>7.777777777777778</v>
      </c>
      <c r="G21" s="700"/>
      <c r="H21" s="61"/>
      <c r="I21" s="326">
        <v>7.777777777777778</v>
      </c>
      <c r="J21" s="700"/>
      <c r="K21" s="61"/>
      <c r="L21" s="711">
        <f t="shared" si="6"/>
        <v>0</v>
      </c>
    </row>
    <row r="22" ht="52.5" customHeight="1">
      <c r="A22" s="69"/>
      <c r="B22" s="720" t="s">
        <v>175</v>
      </c>
      <c r="C22" s="719" t="s">
        <v>46</v>
      </c>
      <c r="D22" s="717"/>
      <c r="E22" s="69"/>
      <c r="F22" s="326">
        <v>8.681818181818182</v>
      </c>
      <c r="G22" s="700"/>
      <c r="H22" s="69"/>
      <c r="I22" s="326">
        <v>8.681818181818182</v>
      </c>
      <c r="J22" s="700"/>
      <c r="K22" s="69"/>
      <c r="L22" s="711">
        <f t="shared" si="6"/>
        <v>0</v>
      </c>
    </row>
    <row r="23" ht="52.5" customHeight="1">
      <c r="A23" s="721" t="s">
        <v>49</v>
      </c>
      <c r="B23" s="720" t="s">
        <v>45</v>
      </c>
      <c r="C23" s="722" t="s">
        <v>50</v>
      </c>
      <c r="D23" s="717"/>
      <c r="E23" s="709">
        <f>AVERAGE(F23:F27)</f>
        <v>7.965217391</v>
      </c>
      <c r="F23" s="326">
        <v>7.782608695652174</v>
      </c>
      <c r="G23" s="700"/>
      <c r="H23" s="709">
        <f>AVERAGE(I23:I27)</f>
        <v>7.965217391</v>
      </c>
      <c r="I23" s="326">
        <v>7.782608695652174</v>
      </c>
      <c r="J23" s="700"/>
      <c r="K23" s="710">
        <f t="shared" ref="K23:L23" si="7">IFERROR(H25-E25,"X")</f>
        <v>0</v>
      </c>
      <c r="L23" s="711">
        <f t="shared" si="7"/>
        <v>0</v>
      </c>
    </row>
    <row r="24" ht="52.5" customHeight="1">
      <c r="A24" s="61"/>
      <c r="B24" s="720" t="s">
        <v>177</v>
      </c>
      <c r="C24" s="722" t="s">
        <v>178</v>
      </c>
      <c r="D24" s="717"/>
      <c r="E24" s="61"/>
      <c r="F24" s="326">
        <v>7.434782608695652</v>
      </c>
      <c r="G24" s="700"/>
      <c r="H24" s="61"/>
      <c r="I24" s="326">
        <v>7.434782608695652</v>
      </c>
      <c r="J24" s="700"/>
      <c r="K24" s="61"/>
      <c r="L24" s="711">
        <f t="shared" ref="L24:L27" si="8">IFERROR(I26-F26,"X")</f>
        <v>0</v>
      </c>
    </row>
    <row r="25" ht="52.5" customHeight="1">
      <c r="A25" s="61"/>
      <c r="B25" s="723" t="s">
        <v>179</v>
      </c>
      <c r="C25" s="722" t="s">
        <v>180</v>
      </c>
      <c r="D25" s="717"/>
      <c r="E25" s="61"/>
      <c r="F25" s="326">
        <v>8.782608695652174</v>
      </c>
      <c r="G25" s="700"/>
      <c r="H25" s="61"/>
      <c r="I25" s="326">
        <v>8.782608695652174</v>
      </c>
      <c r="J25" s="700"/>
      <c r="K25" s="61"/>
      <c r="L25" s="711">
        <f t="shared" si="8"/>
        <v>0</v>
      </c>
    </row>
    <row r="26" ht="52.5" customHeight="1">
      <c r="A26" s="61"/>
      <c r="B26" s="723" t="s">
        <v>181</v>
      </c>
      <c r="C26" s="722" t="s">
        <v>182</v>
      </c>
      <c r="D26" s="717"/>
      <c r="E26" s="61"/>
      <c r="F26" s="326">
        <v>7.6521739130434785</v>
      </c>
      <c r="G26" s="700"/>
      <c r="H26" s="61"/>
      <c r="I26" s="326">
        <v>7.6521739130434785</v>
      </c>
      <c r="J26" s="700"/>
      <c r="K26" s="61"/>
      <c r="L26" s="711">
        <f t="shared" si="8"/>
        <v>0</v>
      </c>
    </row>
    <row r="27" ht="52.5" customHeight="1">
      <c r="A27" s="69"/>
      <c r="B27" s="723" t="s">
        <v>178</v>
      </c>
      <c r="C27" s="722" t="s">
        <v>53</v>
      </c>
      <c r="D27" s="717"/>
      <c r="E27" s="69"/>
      <c r="F27" s="326">
        <v>8.173913043478262</v>
      </c>
      <c r="G27" s="724"/>
      <c r="H27" s="69"/>
      <c r="I27" s="326">
        <v>8.173913043478262</v>
      </c>
      <c r="J27" s="700"/>
      <c r="K27" s="69"/>
      <c r="L27" s="711">
        <f t="shared" si="8"/>
        <v>0</v>
      </c>
    </row>
    <row r="28" ht="52.5" customHeight="1">
      <c r="A28" s="725" t="s">
        <v>54</v>
      </c>
      <c r="B28" s="723" t="s">
        <v>180</v>
      </c>
      <c r="C28" s="726" t="s">
        <v>183</v>
      </c>
      <c r="D28" s="717"/>
      <c r="E28" s="709">
        <f>AVERAGE(F28:F33)</f>
        <v>7.764849624</v>
      </c>
      <c r="F28" s="326">
        <v>7.947368421052632</v>
      </c>
      <c r="H28" s="709">
        <f>AVERAGE(I28:I33)</f>
        <v>7.764849624</v>
      </c>
      <c r="I28" s="326">
        <v>7.947368421052632</v>
      </c>
      <c r="J28" s="700"/>
      <c r="K28" s="710">
        <f t="shared" ref="K28:L28" si="9">IFERROR(H30-E30,"X")</f>
        <v>0</v>
      </c>
      <c r="L28" s="711">
        <f t="shared" si="9"/>
        <v>0</v>
      </c>
    </row>
    <row r="29" ht="52.5" customHeight="1">
      <c r="A29" s="61"/>
      <c r="B29" s="723" t="s">
        <v>182</v>
      </c>
      <c r="C29" s="726" t="s">
        <v>184</v>
      </c>
      <c r="D29" s="717"/>
      <c r="E29" s="61"/>
      <c r="F29" s="326">
        <v>7.631578947368421</v>
      </c>
      <c r="H29" s="61"/>
      <c r="I29" s="326">
        <v>7.631578947368421</v>
      </c>
      <c r="J29" s="700"/>
      <c r="K29" s="61"/>
      <c r="L29" s="711">
        <f t="shared" ref="L29:L33" si="10">IFERROR(I31-F31,"X")</f>
        <v>0</v>
      </c>
    </row>
    <row r="30" ht="52.5" customHeight="1">
      <c r="A30" s="61"/>
      <c r="B30" s="727" t="s">
        <v>183</v>
      </c>
      <c r="C30" s="726" t="s">
        <v>185</v>
      </c>
      <c r="D30" s="717"/>
      <c r="E30" s="61"/>
      <c r="F30" s="326">
        <v>8.0</v>
      </c>
      <c r="H30" s="61"/>
      <c r="I30" s="326">
        <v>8.0</v>
      </c>
      <c r="J30" s="700"/>
      <c r="K30" s="61"/>
      <c r="L30" s="711">
        <f t="shared" si="10"/>
        <v>0</v>
      </c>
    </row>
    <row r="31" ht="52.5" customHeight="1">
      <c r="A31" s="61"/>
      <c r="B31" s="727" t="s">
        <v>185</v>
      </c>
      <c r="C31" s="726" t="s">
        <v>57</v>
      </c>
      <c r="D31" s="717"/>
      <c r="E31" s="61"/>
      <c r="F31" s="326">
        <v>7.95</v>
      </c>
      <c r="G31" s="724"/>
      <c r="H31" s="61"/>
      <c r="I31" s="326">
        <v>7.95</v>
      </c>
      <c r="J31" s="700"/>
      <c r="K31" s="61"/>
      <c r="L31" s="711">
        <f t="shared" si="10"/>
        <v>0</v>
      </c>
    </row>
    <row r="32" ht="52.5" customHeight="1">
      <c r="A32" s="61"/>
      <c r="B32" s="727" t="s">
        <v>57</v>
      </c>
      <c r="C32" s="726" t="s">
        <v>58</v>
      </c>
      <c r="D32" s="717"/>
      <c r="E32" s="61"/>
      <c r="F32" s="326">
        <v>8.428571428571429</v>
      </c>
      <c r="G32" s="700"/>
      <c r="H32" s="61"/>
      <c r="I32" s="326">
        <v>8.428571428571429</v>
      </c>
      <c r="J32" s="700"/>
      <c r="K32" s="61"/>
      <c r="L32" s="711">
        <f t="shared" si="10"/>
        <v>0</v>
      </c>
    </row>
    <row r="33" ht="52.5" customHeight="1">
      <c r="A33" s="69"/>
      <c r="B33" s="727" t="s">
        <v>184</v>
      </c>
      <c r="C33" s="726" t="s">
        <v>59</v>
      </c>
      <c r="D33" s="717"/>
      <c r="E33" s="69"/>
      <c r="F33" s="326">
        <v>6.631578947368421</v>
      </c>
      <c r="G33" s="700"/>
      <c r="H33" s="69"/>
      <c r="I33" s="326">
        <v>6.631578947368421</v>
      </c>
      <c r="J33" s="700"/>
      <c r="K33" s="69"/>
      <c r="L33" s="711">
        <f t="shared" si="10"/>
        <v>0</v>
      </c>
    </row>
    <row r="34" ht="52.5" customHeight="1">
      <c r="A34" s="728" t="s">
        <v>60</v>
      </c>
      <c r="B34" s="727" t="s">
        <v>59</v>
      </c>
      <c r="C34" s="729" t="s">
        <v>61</v>
      </c>
      <c r="D34" s="717"/>
      <c r="E34" s="709">
        <f>AVERAGE(F34:F36)</f>
        <v>7.797101449</v>
      </c>
      <c r="F34" s="326">
        <v>7.173913043478261</v>
      </c>
      <c r="G34" s="700"/>
      <c r="H34" s="709">
        <f>AVERAGE(I34:I36)</f>
        <v>7.797101449</v>
      </c>
      <c r="I34" s="326">
        <v>7.173913043478261</v>
      </c>
      <c r="J34" s="700"/>
      <c r="K34" s="710">
        <f t="shared" ref="K34:L34" si="11">IFERROR(H36-E36,"X")</f>
        <v>0</v>
      </c>
      <c r="L34" s="711">
        <f t="shared" si="11"/>
        <v>0</v>
      </c>
    </row>
    <row r="35" ht="52.5" customHeight="1">
      <c r="A35" s="61"/>
      <c r="B35" s="727" t="s">
        <v>58</v>
      </c>
      <c r="C35" s="729" t="s">
        <v>62</v>
      </c>
      <c r="D35" s="717"/>
      <c r="E35" s="61"/>
      <c r="F35" s="326">
        <v>7.739130434782608</v>
      </c>
      <c r="G35" s="700"/>
      <c r="H35" s="61"/>
      <c r="I35" s="326">
        <v>7.739130434782608</v>
      </c>
      <c r="J35" s="700"/>
      <c r="K35" s="61"/>
      <c r="L35" s="711">
        <f t="shared" ref="L35:L38" si="12">IFERROR(I37-F37,"X")</f>
        <v>0</v>
      </c>
    </row>
    <row r="36" ht="52.5" customHeight="1">
      <c r="A36" s="61"/>
      <c r="B36" s="730" t="s">
        <v>61</v>
      </c>
      <c r="C36" s="729" t="s">
        <v>63</v>
      </c>
      <c r="D36" s="717"/>
      <c r="E36" s="61"/>
      <c r="F36" s="326">
        <v>8.478260869565217</v>
      </c>
      <c r="G36" s="700"/>
      <c r="H36" s="61"/>
      <c r="I36" s="326">
        <v>8.478260869565217</v>
      </c>
      <c r="J36" s="700"/>
      <c r="K36" s="61"/>
      <c r="L36" s="711">
        <f t="shared" si="12"/>
        <v>0</v>
      </c>
    </row>
    <row r="37" ht="52.5" customHeight="1">
      <c r="A37" s="61"/>
      <c r="B37" s="730" t="s">
        <v>186</v>
      </c>
      <c r="C37" s="729" t="s">
        <v>64</v>
      </c>
      <c r="D37" s="717"/>
      <c r="E37" s="61"/>
      <c r="F37" s="326">
        <v>8.478260869565217</v>
      </c>
      <c r="G37" s="700"/>
      <c r="H37" s="61"/>
      <c r="I37" s="326">
        <v>8.478260869565217</v>
      </c>
      <c r="J37" s="700"/>
      <c r="K37" s="61"/>
      <c r="L37" s="711">
        <f t="shared" si="12"/>
        <v>0</v>
      </c>
    </row>
    <row r="38" ht="52.5" customHeight="1">
      <c r="A38" s="69"/>
      <c r="B38" s="730" t="s">
        <v>63</v>
      </c>
      <c r="C38" s="731" t="s">
        <v>65</v>
      </c>
      <c r="D38" s="717"/>
      <c r="E38" s="69"/>
      <c r="F38" s="326">
        <v>8.478260869565217</v>
      </c>
      <c r="G38" s="717"/>
      <c r="H38" s="69"/>
      <c r="I38" s="326">
        <v>8.478260869565217</v>
      </c>
      <c r="J38" s="700"/>
      <c r="K38" s="69"/>
      <c r="L38" s="711">
        <f t="shared" si="12"/>
        <v>0</v>
      </c>
    </row>
    <row r="39" ht="52.5" customHeight="1">
      <c r="A39" s="700"/>
      <c r="B39" s="730" t="s">
        <v>187</v>
      </c>
      <c r="C39" s="700"/>
      <c r="D39" s="717"/>
      <c r="E39" s="732" t="s">
        <v>188</v>
      </c>
      <c r="F39" s="291">
        <f>AVERAGE(F5:F36)</f>
        <v>8.088078717</v>
      </c>
      <c r="G39" s="700"/>
      <c r="H39" s="732" t="s">
        <v>188</v>
      </c>
      <c r="I39" s="291">
        <f>AVERAGE(I5:I36)</f>
        <v>8.088078717</v>
      </c>
      <c r="J39" s="700"/>
      <c r="K39" s="733" t="s">
        <v>188</v>
      </c>
      <c r="L39" s="710">
        <f>I39-F39</f>
        <v>0</v>
      </c>
    </row>
    <row r="40" ht="52.5" customHeight="1">
      <c r="A40" s="700"/>
      <c r="B40" s="730" t="s">
        <v>65</v>
      </c>
      <c r="C40" s="700"/>
      <c r="D40" s="717"/>
      <c r="E40" s="69"/>
      <c r="F40" s="69"/>
      <c r="G40" s="700"/>
      <c r="H40" s="69"/>
      <c r="I40" s="69"/>
      <c r="J40" s="700"/>
      <c r="K40" s="69"/>
      <c r="L40" s="69"/>
    </row>
    <row r="41" ht="26.25" customHeight="1">
      <c r="A41" s="700"/>
      <c r="B41" s="700"/>
      <c r="C41" s="700"/>
      <c r="D41" s="717"/>
      <c r="E41" s="734"/>
      <c r="F41" s="735"/>
      <c r="G41" s="700"/>
      <c r="H41" s="734"/>
      <c r="I41" s="735"/>
      <c r="J41" s="700"/>
      <c r="K41" s="734"/>
      <c r="L41" s="735"/>
    </row>
    <row r="42">
      <c r="A42" s="700"/>
      <c r="B42" s="700"/>
      <c r="C42" s="736" t="s">
        <v>70</v>
      </c>
      <c r="D42" s="717"/>
      <c r="E42" s="737" t="str">
        <f t="shared" ref="E42:E43" si="13">OFFSET('21.2'!$B$2,MATCH($C42,'21.2'!$B$3:$B$44,0),MATCH($C$3,'21.2'!$C$1:$AY$1,0))</f>
        <v>#REF!</v>
      </c>
      <c r="F42" s="161"/>
      <c r="G42" s="700"/>
      <c r="H42" s="737" t="str">
        <f>OFFSET('22.1'!$B$2,MATCH($C42,'22.1'!$B$3:$B$44,0),MATCH($C$3,'22.1'!$C$1:$AY$1,0))</f>
        <v>Excelência (x8)
Amizade (x4)
Transparência (x3)
Protagonismo (x2)
Obsessão pelo aprendizado (x2)
Senso crítico (x2)
Responsabilidade Coletiva (x2)
Liderança (x2)
Comunicação (x1)
Feedbacks completos (x1)
Mentalidade de fundador (x1)
Tranquilidade (x1)
Postura (x1)
Organização (x1)
Brilho nos olhos (x1)
Comprometimento (x1)
</v>
      </c>
      <c r="I42" s="161"/>
      <c r="J42" s="700"/>
      <c r="K42" s="734"/>
      <c r="L42" s="735"/>
    </row>
    <row r="43">
      <c r="A43" s="700"/>
      <c r="B43" s="700"/>
      <c r="C43" s="738" t="s">
        <v>73</v>
      </c>
      <c r="D43" s="717"/>
      <c r="E43" s="737" t="str">
        <f t="shared" si="13"/>
        <v>#REF!</v>
      </c>
      <c r="F43" s="161"/>
      <c r="G43" s="700"/>
      <c r="H43" s="737" t="str">
        <f>OFFSET('22.1'!$B$2,MATCH($C43,'22.1'!$B$3:$B$44,0),MATCH($C$3,'22.1'!$C$1:$AY$1,0))</f>
        <v>Organização Clube/faculdade (x4)
Pensamento estratégico (x3)
Protagonismo (x3)
Obsessão pelo aprendizado (x2)
Gestão de Pessoas (x2)
Objetividade (x2)
Inovação (x2)
Senso de urgência na fala (x1)
Transparência (x1)
Senso crítico (x1)
Participação em outras demandas (x1)
Mentalidade de fundador (x1)
Liderança (x1)
Sentimento de dono (x1)
</v>
      </c>
      <c r="I43" s="161"/>
      <c r="J43" s="700"/>
      <c r="K43" s="734"/>
      <c r="L43" s="735"/>
    </row>
  </sheetData>
  <mergeCells count="42">
    <mergeCell ref="K3:L4"/>
    <mergeCell ref="K5:K8"/>
    <mergeCell ref="K9:K17"/>
    <mergeCell ref="K18:K22"/>
    <mergeCell ref="K23:K27"/>
    <mergeCell ref="K28:K33"/>
    <mergeCell ref="K34:K38"/>
    <mergeCell ref="A1:L1"/>
    <mergeCell ref="A3:A4"/>
    <mergeCell ref="B3:B4"/>
    <mergeCell ref="C3:C4"/>
    <mergeCell ref="H3:I3"/>
    <mergeCell ref="A5:A8"/>
    <mergeCell ref="H5:H8"/>
    <mergeCell ref="A18:A22"/>
    <mergeCell ref="A23:A27"/>
    <mergeCell ref="A28:A33"/>
    <mergeCell ref="A34:A38"/>
    <mergeCell ref="E3:F3"/>
    <mergeCell ref="E5:E8"/>
    <mergeCell ref="A9:A17"/>
    <mergeCell ref="E9:E17"/>
    <mergeCell ref="H9:H17"/>
    <mergeCell ref="E18:E22"/>
    <mergeCell ref="E23:E27"/>
    <mergeCell ref="E39:E40"/>
    <mergeCell ref="F39:F40"/>
    <mergeCell ref="H39:H40"/>
    <mergeCell ref="I39:I40"/>
    <mergeCell ref="K39:K40"/>
    <mergeCell ref="L39:L40"/>
    <mergeCell ref="H42:I42"/>
    <mergeCell ref="E42:F42"/>
    <mergeCell ref="E43:F43"/>
    <mergeCell ref="H43:I43"/>
    <mergeCell ref="H18:H22"/>
    <mergeCell ref="H23:H27"/>
    <mergeCell ref="G27:G30"/>
    <mergeCell ref="E28:E33"/>
    <mergeCell ref="H28:H33"/>
    <mergeCell ref="E34:E38"/>
    <mergeCell ref="H34:H38"/>
  </mergeCells>
  <conditionalFormatting sqref="E5:E38 F5:F40 H5:H38 I5:I40">
    <cfRule type="cellIs" dxfId="4" priority="1" operator="between">
      <formula>6.50001</formula>
      <formula>7.1</formula>
    </cfRule>
  </conditionalFormatting>
  <conditionalFormatting sqref="E5:E32 F5:F40 H5:H32 I5:I40">
    <cfRule type="cellIs" dxfId="5" priority="2" operator="between">
      <formula>7.10001</formula>
      <formula>7.5</formula>
    </cfRule>
  </conditionalFormatting>
  <conditionalFormatting sqref="E5:E38 F5:F40 H5:H38 I5:I40">
    <cfRule type="cellIs" dxfId="6" priority="3" operator="between">
      <formula>0</formula>
      <formula>6.5</formula>
    </cfRule>
  </conditionalFormatting>
  <conditionalFormatting sqref="E5:E38 F5:F40 H5:H38 I5:I40 L15:L17 L35:L38">
    <cfRule type="cellIs" dxfId="1" priority="4" operator="greaterThan">
      <formula>8.5</formula>
    </cfRule>
  </conditionalFormatting>
  <conditionalFormatting sqref="E5:E38 F5:F40 H5:H38 I5:I40 L15:L17 L35:L38">
    <cfRule type="cellIs" dxfId="12" priority="5" operator="between">
      <formula>8.000001</formula>
      <formula>8.5</formula>
    </cfRule>
  </conditionalFormatting>
  <conditionalFormatting sqref="E5:E38 F5:F40 H5:H38 I5:I40 L15:L17 L35:L38">
    <cfRule type="cellIs" dxfId="3" priority="6" operator="between">
      <formula>7.500001</formula>
      <formula>8</formula>
    </cfRule>
  </conditionalFormatting>
  <conditionalFormatting sqref="E5:E32 F5:F40 H5:H32 I5:I40 L15:L17 E34 H34 L35:L38 E36 H36">
    <cfRule type="cellIs" dxfId="4" priority="7" operator="between">
      <formula>6.50001</formula>
      <formula>7</formula>
    </cfRule>
  </conditionalFormatting>
  <conditionalFormatting sqref="E5:E38 F5:F40 H5:H38 I5:I40 L15:L17 L35:L38">
    <cfRule type="cellIs" dxfId="5" priority="8" operator="between">
      <formula>7.00001</formula>
      <formula>7.5</formula>
    </cfRule>
  </conditionalFormatting>
  <conditionalFormatting sqref="K3 K5:K36 L5:L39 F8:F38">
    <cfRule type="colorScale" priority="9">
      <colorScale>
        <cfvo type="formula" val="-1.5"/>
        <cfvo type="formula" val="0"/>
        <cfvo type="formula" val="1.5"/>
        <color rgb="FFE67C73"/>
        <color rgb="FF000000"/>
        <color rgb="FF57BB8A"/>
      </colorScale>
    </cfRule>
  </conditionalFormatting>
  <conditionalFormatting sqref="B3:B4 E5:E37 F5:F39 G5:H37 I5:I39 E39 G39:H39">
    <cfRule type="cellIs" dxfId="13" priority="10" operator="lessThanOrEqual">
      <formula>6.5</formula>
    </cfRule>
  </conditionalFormatting>
  <conditionalFormatting sqref="E5:F38">
    <cfRule type="containsText" dxfId="14" priority="11" operator="containsText" text="X">
      <formula>NOT(ISERROR(SEARCH(("X"),(E5))))</formula>
    </cfRule>
  </conditionalFormatting>
  <dataValidations>
    <dataValidation type="list" allowBlank="1" sqref="C3">
      <formula1>'22.1'!$C$1:$BA$1</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55.14"/>
  </cols>
  <sheetData>
    <row r="1" ht="45.0" customHeight="1">
      <c r="A1" s="739"/>
      <c r="B1" s="739"/>
      <c r="C1" s="740" t="s">
        <v>189</v>
      </c>
      <c r="D1" s="43"/>
      <c r="E1" s="740" t="s">
        <v>190</v>
      </c>
      <c r="F1" s="43"/>
      <c r="G1" s="740" t="s">
        <v>191</v>
      </c>
      <c r="H1" s="43"/>
      <c r="I1" s="740" t="s">
        <v>192</v>
      </c>
      <c r="J1" s="43"/>
    </row>
    <row r="2" ht="45.0" customHeight="1">
      <c r="A2" s="739"/>
      <c r="B2" s="739"/>
      <c r="C2" s="741" t="s">
        <v>27</v>
      </c>
      <c r="D2" s="742" t="s">
        <v>4</v>
      </c>
      <c r="E2" s="741" t="s">
        <v>27</v>
      </c>
      <c r="F2" s="742" t="s">
        <v>4</v>
      </c>
      <c r="G2" s="741" t="s">
        <v>27</v>
      </c>
      <c r="H2" s="742" t="s">
        <v>4</v>
      </c>
      <c r="I2" s="741" t="s">
        <v>27</v>
      </c>
      <c r="J2" s="742" t="s">
        <v>4</v>
      </c>
    </row>
    <row r="3" ht="45.0" customHeight="1">
      <c r="A3" s="743" t="s">
        <v>29</v>
      </c>
      <c r="B3" s="744" t="s">
        <v>193</v>
      </c>
      <c r="C3" s="745">
        <f>AVERAGE(D3:D5)</f>
        <v>8.541666667</v>
      </c>
      <c r="D3" s="746">
        <v>8.625</v>
      </c>
      <c r="E3" s="745">
        <f>AVERAGE(F3:F5)</f>
        <v>8.002525253</v>
      </c>
      <c r="F3" s="746">
        <v>8.666666666666666</v>
      </c>
      <c r="G3" s="745">
        <f>AVERAGE(H3:H5)</f>
        <v>8.740740741</v>
      </c>
      <c r="H3" s="746">
        <v>8.88888888888889</v>
      </c>
      <c r="I3" s="745">
        <f>AVERAGE(J3:J5)</f>
        <v>8.25</v>
      </c>
      <c r="J3" s="746">
        <v>8.25</v>
      </c>
    </row>
    <row r="4" ht="45.0" customHeight="1">
      <c r="B4" s="744" t="s">
        <v>194</v>
      </c>
      <c r="C4" s="747"/>
      <c r="D4" s="746">
        <v>8.5</v>
      </c>
      <c r="E4" s="747"/>
      <c r="F4" s="746">
        <v>8.25</v>
      </c>
      <c r="G4" s="747"/>
      <c r="H4" s="746">
        <v>9.11111111111111</v>
      </c>
      <c r="I4" s="747"/>
      <c r="J4" s="746">
        <v>9.0</v>
      </c>
    </row>
    <row r="5" ht="45.0" customHeight="1">
      <c r="B5" s="744" t="s">
        <v>195</v>
      </c>
      <c r="C5" s="748"/>
      <c r="D5" s="746">
        <v>8.5</v>
      </c>
      <c r="E5" s="748"/>
      <c r="F5" s="746">
        <v>7.090909090909091</v>
      </c>
      <c r="G5" s="748"/>
      <c r="H5" s="746">
        <v>8.222222222222221</v>
      </c>
      <c r="I5" s="748"/>
      <c r="J5" s="746">
        <v>7.5</v>
      </c>
    </row>
    <row r="6" ht="45.0" customHeight="1">
      <c r="A6" s="749" t="s">
        <v>35</v>
      </c>
      <c r="B6" s="750" t="s">
        <v>196</v>
      </c>
      <c r="C6" s="751">
        <f>AVERAGE(D6:D11)</f>
        <v>8</v>
      </c>
      <c r="D6" s="746">
        <v>7.75</v>
      </c>
      <c r="E6" s="751">
        <f>AVERAGE(F6:F11)</f>
        <v>8.041666667</v>
      </c>
      <c r="F6" s="746">
        <v>8.333333333333334</v>
      </c>
      <c r="G6" s="751">
        <f>AVERAGE(H6:H11)</f>
        <v>8.796296296</v>
      </c>
      <c r="H6" s="746">
        <v>9.0</v>
      </c>
      <c r="I6" s="751">
        <f>AVERAGE(J6:J11)</f>
        <v>8.75</v>
      </c>
      <c r="J6" s="746">
        <v>9.75</v>
      </c>
    </row>
    <row r="7" ht="45.0" customHeight="1">
      <c r="B7" s="750" t="s">
        <v>197</v>
      </c>
      <c r="C7" s="747"/>
      <c r="D7" s="746">
        <v>8.125</v>
      </c>
      <c r="E7" s="747"/>
      <c r="F7" s="746">
        <v>7.5</v>
      </c>
      <c r="G7" s="747"/>
      <c r="H7" s="746">
        <v>8.666666666666666</v>
      </c>
      <c r="I7" s="747"/>
      <c r="J7" s="746">
        <v>8.25</v>
      </c>
    </row>
    <row r="8" ht="45.0" customHeight="1">
      <c r="B8" s="750" t="s">
        <v>198</v>
      </c>
      <c r="C8" s="747"/>
      <c r="D8" s="746">
        <v>7.375</v>
      </c>
      <c r="E8" s="747"/>
      <c r="F8" s="746">
        <v>8.083333333333334</v>
      </c>
      <c r="G8" s="747"/>
      <c r="H8" s="746">
        <v>9.0</v>
      </c>
      <c r="I8" s="747"/>
      <c r="J8" s="746">
        <v>9.25</v>
      </c>
    </row>
    <row r="9" ht="45.0" customHeight="1">
      <c r="B9" s="750" t="s">
        <v>199</v>
      </c>
      <c r="C9" s="747"/>
      <c r="D9" s="746">
        <v>8.375</v>
      </c>
      <c r="E9" s="747"/>
      <c r="F9" s="746">
        <v>7.833333333333333</v>
      </c>
      <c r="G9" s="747"/>
      <c r="H9" s="746">
        <v>8.666666666666666</v>
      </c>
      <c r="I9" s="747"/>
      <c r="J9" s="746">
        <v>8.0</v>
      </c>
    </row>
    <row r="10" ht="45.0" customHeight="1">
      <c r="B10" s="750" t="s">
        <v>200</v>
      </c>
      <c r="C10" s="747"/>
      <c r="D10" s="746">
        <v>7.875</v>
      </c>
      <c r="E10" s="747"/>
      <c r="F10" s="746">
        <v>8.583333333333334</v>
      </c>
      <c r="G10" s="747"/>
      <c r="H10" s="746">
        <v>8.666666666666666</v>
      </c>
      <c r="I10" s="747"/>
      <c r="J10" s="746">
        <v>9.0</v>
      </c>
    </row>
    <row r="11" ht="45.0" customHeight="1">
      <c r="B11" s="750" t="s">
        <v>201</v>
      </c>
      <c r="C11" s="752"/>
      <c r="D11" s="746">
        <v>8.5</v>
      </c>
      <c r="E11" s="752"/>
      <c r="F11" s="746">
        <v>7.916666666666667</v>
      </c>
      <c r="G11" s="752"/>
      <c r="H11" s="746">
        <v>8.777777777777779</v>
      </c>
      <c r="I11" s="752"/>
      <c r="J11" s="746">
        <v>8.25</v>
      </c>
    </row>
    <row r="12" ht="45.0" customHeight="1">
      <c r="A12" s="753" t="s">
        <v>42</v>
      </c>
      <c r="B12" s="754" t="s">
        <v>202</v>
      </c>
      <c r="C12" s="755">
        <f>AVERAGE(D12:D16)</f>
        <v>7.75</v>
      </c>
      <c r="D12" s="746">
        <v>7.375</v>
      </c>
      <c r="E12" s="755">
        <f>AVERAGE(F12:F16)</f>
        <v>8</v>
      </c>
      <c r="F12" s="746">
        <v>8.25</v>
      </c>
      <c r="G12" s="755">
        <f>AVERAGE(H12:H16)</f>
        <v>8.733333333</v>
      </c>
      <c r="H12" s="746">
        <v>8.777777777777779</v>
      </c>
      <c r="I12" s="755">
        <f>AVERAGE(J12:J16)</f>
        <v>7.966666667</v>
      </c>
      <c r="J12" s="746">
        <v>8.333333333333334</v>
      </c>
    </row>
    <row r="13" ht="45.0" customHeight="1">
      <c r="B13" s="754" t="s">
        <v>203</v>
      </c>
      <c r="C13" s="747"/>
      <c r="D13" s="746">
        <v>7.75</v>
      </c>
      <c r="E13" s="747"/>
      <c r="F13" s="746">
        <v>8.083333333333334</v>
      </c>
      <c r="G13" s="747"/>
      <c r="H13" s="746">
        <v>8.666666666666666</v>
      </c>
      <c r="I13" s="747"/>
      <c r="J13" s="746">
        <v>7.5</v>
      </c>
    </row>
    <row r="14" ht="45.0" customHeight="1">
      <c r="B14" s="754" t="s">
        <v>204</v>
      </c>
      <c r="C14" s="747"/>
      <c r="D14" s="746">
        <v>8.75</v>
      </c>
      <c r="E14" s="747"/>
      <c r="F14" s="746">
        <v>8.5</v>
      </c>
      <c r="G14" s="747"/>
      <c r="H14" s="746">
        <v>8.88888888888889</v>
      </c>
      <c r="I14" s="747"/>
      <c r="J14" s="746">
        <v>9.0</v>
      </c>
    </row>
    <row r="15" ht="45.0" customHeight="1">
      <c r="B15" s="754" t="s">
        <v>205</v>
      </c>
      <c r="C15" s="747"/>
      <c r="D15" s="746">
        <v>7.125</v>
      </c>
      <c r="E15" s="747"/>
      <c r="F15" s="746">
        <v>7.166666666666667</v>
      </c>
      <c r="G15" s="747"/>
      <c r="H15" s="746">
        <v>8.444444444444445</v>
      </c>
      <c r="I15" s="747"/>
      <c r="J15" s="746">
        <v>7.0</v>
      </c>
    </row>
    <row r="16" ht="45.0" customHeight="1">
      <c r="A16" s="753"/>
      <c r="B16" s="754" t="s">
        <v>206</v>
      </c>
      <c r="C16" s="748"/>
      <c r="D16" s="746">
        <v>7.75</v>
      </c>
      <c r="E16" s="748"/>
      <c r="F16" s="746">
        <v>8.0</v>
      </c>
      <c r="G16" s="748"/>
      <c r="H16" s="746">
        <v>8.88888888888889</v>
      </c>
      <c r="I16" s="748"/>
      <c r="J16" s="746">
        <v>8.0</v>
      </c>
    </row>
    <row r="17" ht="45.0" customHeight="1">
      <c r="A17" s="756" t="s">
        <v>49</v>
      </c>
      <c r="B17" s="757" t="s">
        <v>207</v>
      </c>
      <c r="C17" s="758">
        <f>AVERAGE(D17:D20)</f>
        <v>8.625</v>
      </c>
      <c r="D17" s="746">
        <v>8.625</v>
      </c>
      <c r="E17" s="758">
        <f>AVERAGE(F17:F20)</f>
        <v>8.645833333</v>
      </c>
      <c r="F17" s="746">
        <v>8.666666666666666</v>
      </c>
      <c r="G17" s="758">
        <f>AVERAGE(H17:H20)</f>
        <v>8.333333333</v>
      </c>
      <c r="H17" s="746">
        <v>8.555555555555555</v>
      </c>
      <c r="I17" s="758">
        <f>AVERAGE(J17:J20)</f>
        <v>8.5625</v>
      </c>
      <c r="J17" s="746">
        <v>8.75</v>
      </c>
    </row>
    <row r="18" ht="45.0" customHeight="1">
      <c r="B18" s="757" t="s">
        <v>208</v>
      </c>
      <c r="C18" s="747"/>
      <c r="D18" s="746">
        <v>8.75</v>
      </c>
      <c r="E18" s="747"/>
      <c r="F18" s="746">
        <v>8.666666666666666</v>
      </c>
      <c r="G18" s="747"/>
      <c r="H18" s="746">
        <v>9.0</v>
      </c>
      <c r="I18" s="747"/>
      <c r="J18" s="746">
        <v>9.0</v>
      </c>
    </row>
    <row r="19" ht="45.0" customHeight="1">
      <c r="B19" s="757" t="s">
        <v>209</v>
      </c>
      <c r="C19" s="747"/>
      <c r="D19" s="746">
        <v>8.5</v>
      </c>
      <c r="E19" s="747"/>
      <c r="F19" s="746">
        <v>8.583333333333334</v>
      </c>
      <c r="G19" s="747"/>
      <c r="H19" s="746">
        <v>8.555555555555555</v>
      </c>
      <c r="I19" s="747"/>
      <c r="J19" s="746">
        <v>8.5</v>
      </c>
    </row>
    <row r="20" ht="45.0" customHeight="1">
      <c r="B20" s="757" t="s">
        <v>210</v>
      </c>
      <c r="C20" s="752"/>
      <c r="D20" s="746">
        <v>8.625</v>
      </c>
      <c r="E20" s="752"/>
      <c r="F20" s="746">
        <v>8.666666666666666</v>
      </c>
      <c r="G20" s="752"/>
      <c r="H20" s="746">
        <v>7.222222222222222</v>
      </c>
      <c r="I20" s="752"/>
      <c r="J20" s="746">
        <v>8.0</v>
      </c>
    </row>
    <row r="21" ht="45.0" customHeight="1">
      <c r="A21" s="759" t="s">
        <v>54</v>
      </c>
      <c r="B21" s="760" t="s">
        <v>211</v>
      </c>
      <c r="C21" s="761">
        <f>AVERAGE(D21:D22)</f>
        <v>8.4375</v>
      </c>
      <c r="D21" s="746">
        <v>7.875</v>
      </c>
      <c r="E21" s="761">
        <f>AVERAGE(F21:F22)</f>
        <v>7.916666667</v>
      </c>
      <c r="F21" s="746">
        <v>7.333333333333333</v>
      </c>
      <c r="G21" s="761">
        <f>AVERAGE(H21:H22)</f>
        <v>8.333333333</v>
      </c>
      <c r="H21" s="746">
        <v>7.888888888888889</v>
      </c>
      <c r="I21" s="761">
        <f>AVERAGE(J21:J22)</f>
        <v>8.125</v>
      </c>
      <c r="J21" s="746">
        <v>7.75</v>
      </c>
    </row>
    <row r="22" ht="45.0" customHeight="1">
      <c r="B22" s="760" t="s">
        <v>212</v>
      </c>
      <c r="C22" s="748"/>
      <c r="D22" s="746">
        <v>9.0</v>
      </c>
      <c r="E22" s="748"/>
      <c r="F22" s="746">
        <v>8.5</v>
      </c>
      <c r="G22" s="748"/>
      <c r="H22" s="746">
        <v>8.777777777777779</v>
      </c>
      <c r="I22" s="748"/>
      <c r="J22" s="746">
        <v>8.5</v>
      </c>
    </row>
    <row r="23" ht="45.0" customHeight="1">
      <c r="A23" s="762" t="s">
        <v>60</v>
      </c>
      <c r="B23" s="763" t="s">
        <v>213</v>
      </c>
      <c r="C23" s="764">
        <f>AVERAGE(D23:D26)</f>
        <v>7.78125</v>
      </c>
      <c r="D23" s="746">
        <v>7.25</v>
      </c>
      <c r="E23" s="764">
        <f>AVERAGE(F23:F26)</f>
        <v>8.318181818</v>
      </c>
      <c r="F23" s="746">
        <v>9.272727272727273</v>
      </c>
      <c r="G23" s="764">
        <f>AVERAGE(H23:H26)</f>
        <v>8.416666667</v>
      </c>
      <c r="H23" s="746">
        <v>8.555555555555555</v>
      </c>
      <c r="I23" s="764">
        <f>AVERAGE(J23:J26)</f>
        <v>7.9375</v>
      </c>
      <c r="J23" s="746">
        <v>7.75</v>
      </c>
    </row>
    <row r="24" ht="45.0" customHeight="1">
      <c r="B24" s="763" t="s">
        <v>214</v>
      </c>
      <c r="C24" s="747"/>
      <c r="D24" s="746">
        <v>8.125</v>
      </c>
      <c r="E24" s="747"/>
      <c r="F24" s="746">
        <v>8.083333333333334</v>
      </c>
      <c r="G24" s="747"/>
      <c r="H24" s="746">
        <v>8.555555555555555</v>
      </c>
      <c r="I24" s="747"/>
      <c r="J24" s="746">
        <v>8.0</v>
      </c>
    </row>
    <row r="25" ht="45.0" customHeight="1">
      <c r="B25" s="763" t="s">
        <v>215</v>
      </c>
      <c r="C25" s="747"/>
      <c r="D25" s="746">
        <v>7.5</v>
      </c>
      <c r="E25" s="747"/>
      <c r="F25" s="746">
        <v>7.416666666666667</v>
      </c>
      <c r="G25" s="747"/>
      <c r="H25" s="746">
        <v>7.888888888888889</v>
      </c>
      <c r="I25" s="747"/>
      <c r="J25" s="746">
        <v>7.25</v>
      </c>
    </row>
    <row r="26" ht="45.0" customHeight="1">
      <c r="B26" s="763" t="s">
        <v>216</v>
      </c>
      <c r="C26" s="752"/>
      <c r="D26" s="746">
        <v>8.25</v>
      </c>
      <c r="E26" s="752"/>
      <c r="F26" s="746">
        <v>8.5</v>
      </c>
      <c r="G26" s="752"/>
      <c r="H26" s="746">
        <v>8.666666666666666</v>
      </c>
      <c r="I26" s="752"/>
      <c r="J26" s="746">
        <v>8.75</v>
      </c>
    </row>
    <row r="27">
      <c r="A27" s="765"/>
      <c r="B27" s="765"/>
      <c r="C27" s="766" t="s">
        <v>188</v>
      </c>
      <c r="D27" s="767">
        <f>AVERAGE(D3:D26)</f>
        <v>8.119791667</v>
      </c>
      <c r="E27" s="766" t="s">
        <v>188</v>
      </c>
      <c r="F27" s="767">
        <f>AVERAGE(F3:F26)</f>
        <v>8.164457071</v>
      </c>
      <c r="G27" s="766" t="s">
        <v>188</v>
      </c>
      <c r="H27" s="767">
        <f>AVERAGE(H3:H26)</f>
        <v>8.597222222</v>
      </c>
      <c r="I27" s="766" t="s">
        <v>188</v>
      </c>
      <c r="J27" s="767">
        <f>AVERAGE(J3:J26)</f>
        <v>8.305555556</v>
      </c>
    </row>
    <row r="28">
      <c r="A28" s="765"/>
      <c r="B28" s="765"/>
      <c r="C28" s="768"/>
      <c r="D28" s="768"/>
      <c r="E28" s="768"/>
      <c r="F28" s="768"/>
      <c r="G28" s="768"/>
      <c r="H28" s="768"/>
      <c r="I28" s="768"/>
      <c r="J28" s="768"/>
    </row>
    <row r="29">
      <c r="A29" s="765"/>
      <c r="B29" s="765"/>
      <c r="C29" s="769"/>
      <c r="D29" s="769"/>
      <c r="E29" s="770"/>
      <c r="F29" s="770"/>
      <c r="G29" s="770"/>
      <c r="H29" s="770"/>
      <c r="I29" s="769"/>
      <c r="J29" s="769"/>
    </row>
    <row r="30" ht="132.75" customHeight="1">
      <c r="A30" s="765"/>
      <c r="B30" s="771" t="s">
        <v>70</v>
      </c>
      <c r="C30" s="772" t="s">
        <v>217</v>
      </c>
      <c r="D30" s="773"/>
      <c r="E30" s="774" t="s">
        <v>218</v>
      </c>
      <c r="F30" s="775"/>
      <c r="G30" s="774" t="s">
        <v>219</v>
      </c>
      <c r="H30" s="775"/>
      <c r="I30" s="772" t="s">
        <v>220</v>
      </c>
      <c r="J30" s="773"/>
    </row>
    <row r="31" ht="130.5" customHeight="1">
      <c r="A31" s="765"/>
      <c r="B31" s="776" t="s">
        <v>73</v>
      </c>
      <c r="C31" s="772" t="s">
        <v>221</v>
      </c>
      <c r="D31" s="773"/>
      <c r="E31" s="777" t="s">
        <v>222</v>
      </c>
      <c r="F31" s="748"/>
      <c r="G31" s="772" t="s">
        <v>223</v>
      </c>
      <c r="H31" s="773"/>
      <c r="I31" s="772" t="s">
        <v>224</v>
      </c>
      <c r="J31" s="773"/>
    </row>
    <row r="67">
      <c r="B67" s="778"/>
    </row>
  </sheetData>
  <mergeCells count="50">
    <mergeCell ref="A21:A22"/>
    <mergeCell ref="A23:A26"/>
    <mergeCell ref="C3:C5"/>
    <mergeCell ref="C6:C11"/>
    <mergeCell ref="A12:A15"/>
    <mergeCell ref="C12:C16"/>
    <mergeCell ref="A17:A20"/>
    <mergeCell ref="C17:C20"/>
    <mergeCell ref="C21:C22"/>
    <mergeCell ref="C23:C26"/>
    <mergeCell ref="C27:C28"/>
    <mergeCell ref="F27:F28"/>
    <mergeCell ref="G27:G28"/>
    <mergeCell ref="H27:H28"/>
    <mergeCell ref="I27:I28"/>
    <mergeCell ref="J27:J28"/>
    <mergeCell ref="D27:D28"/>
    <mergeCell ref="C30:D30"/>
    <mergeCell ref="E30:F30"/>
    <mergeCell ref="G30:H30"/>
    <mergeCell ref="I30:J30"/>
    <mergeCell ref="C31:D31"/>
    <mergeCell ref="E31:F31"/>
    <mergeCell ref="G3:G5"/>
    <mergeCell ref="I3:I5"/>
    <mergeCell ref="C1:D1"/>
    <mergeCell ref="E1:F1"/>
    <mergeCell ref="G1:H1"/>
    <mergeCell ref="I1:J1"/>
    <mergeCell ref="A3:A5"/>
    <mergeCell ref="E3:E5"/>
    <mergeCell ref="A6:A11"/>
    <mergeCell ref="I6:I11"/>
    <mergeCell ref="E17:E20"/>
    <mergeCell ref="E21:E22"/>
    <mergeCell ref="E23:E26"/>
    <mergeCell ref="E27:E28"/>
    <mergeCell ref="I17:I20"/>
    <mergeCell ref="I21:I22"/>
    <mergeCell ref="G23:G26"/>
    <mergeCell ref="I23:I26"/>
    <mergeCell ref="E6:E11"/>
    <mergeCell ref="G6:G11"/>
    <mergeCell ref="E12:E16"/>
    <mergeCell ref="G12:G16"/>
    <mergeCell ref="I12:I16"/>
    <mergeCell ref="G17:G20"/>
    <mergeCell ref="G21:G22"/>
    <mergeCell ref="G31:H31"/>
    <mergeCell ref="I31:J31"/>
  </mergeCells>
  <conditionalFormatting sqref="C3:C26 D3:J27">
    <cfRule type="cellIs" dxfId="6" priority="1" operator="between">
      <formula>0</formula>
      <formula>6.5</formula>
    </cfRule>
  </conditionalFormatting>
  <conditionalFormatting sqref="C3:C26 D3:J27">
    <cfRule type="cellIs" dxfId="4" priority="2" operator="between">
      <formula>6.50001</formula>
      <formula>7.2</formula>
    </cfRule>
  </conditionalFormatting>
  <conditionalFormatting sqref="C3:C26 D3:J27">
    <cfRule type="cellIs" dxfId="5" priority="3" operator="between">
      <formula>7.20001</formula>
      <formula>8</formula>
    </cfRule>
  </conditionalFormatting>
  <conditionalFormatting sqref="C3:C26 D3:J27">
    <cfRule type="cellIs" dxfId="3" priority="4" operator="between">
      <formula>8.0001</formula>
      <formula>8.5</formula>
    </cfRule>
  </conditionalFormatting>
  <conditionalFormatting sqref="C3:C26 D3:J27">
    <cfRule type="cellIs" dxfId="12" priority="5" operator="between">
      <formula>8.50001</formula>
      <formula>9</formula>
    </cfRule>
  </conditionalFormatting>
  <conditionalFormatting sqref="C3:C26 D3:J27">
    <cfRule type="cellIs" dxfId="1" priority="6" operator="greaterThan">
      <formula>9</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55.14"/>
  </cols>
  <sheetData>
    <row r="1" ht="45.0" customHeight="1">
      <c r="A1" s="765"/>
      <c r="B1" s="765"/>
      <c r="C1" s="779" t="s">
        <v>225</v>
      </c>
      <c r="D1" s="43"/>
      <c r="E1" s="779" t="s">
        <v>226</v>
      </c>
      <c r="F1" s="43"/>
      <c r="G1" s="779" t="s">
        <v>189</v>
      </c>
      <c r="H1" s="43"/>
      <c r="I1" s="779" t="s">
        <v>227</v>
      </c>
      <c r="J1" s="43"/>
      <c r="K1" s="779" t="s">
        <v>228</v>
      </c>
      <c r="L1" s="43"/>
      <c r="M1" s="740" t="s">
        <v>192</v>
      </c>
      <c r="N1" s="43"/>
      <c r="O1" s="779" t="s">
        <v>229</v>
      </c>
      <c r="P1" s="43"/>
      <c r="Q1" s="779" t="s">
        <v>230</v>
      </c>
      <c r="R1" s="43"/>
      <c r="S1" s="780" t="s">
        <v>190</v>
      </c>
      <c r="U1" s="780" t="s">
        <v>231</v>
      </c>
      <c r="W1" s="780" t="s">
        <v>232</v>
      </c>
      <c r="Y1" s="780" t="s">
        <v>191</v>
      </c>
      <c r="AA1" s="780" t="s">
        <v>233</v>
      </c>
    </row>
    <row r="2" ht="45.0" customHeight="1">
      <c r="A2" s="765"/>
      <c r="B2" s="765"/>
      <c r="C2" s="741" t="s">
        <v>27</v>
      </c>
      <c r="D2" s="742" t="s">
        <v>4</v>
      </c>
      <c r="E2" s="741" t="s">
        <v>27</v>
      </c>
      <c r="F2" s="742" t="s">
        <v>4</v>
      </c>
      <c r="G2" s="741" t="s">
        <v>27</v>
      </c>
      <c r="H2" s="742" t="s">
        <v>4</v>
      </c>
      <c r="I2" s="741" t="s">
        <v>27</v>
      </c>
      <c r="J2" s="742" t="s">
        <v>4</v>
      </c>
      <c r="K2" s="741" t="s">
        <v>27</v>
      </c>
      <c r="L2" s="742" t="s">
        <v>4</v>
      </c>
      <c r="M2" s="741" t="s">
        <v>27</v>
      </c>
      <c r="N2" s="742" t="s">
        <v>4</v>
      </c>
      <c r="O2" s="741" t="s">
        <v>27</v>
      </c>
      <c r="P2" s="742" t="s">
        <v>4</v>
      </c>
      <c r="Q2" s="741" t="s">
        <v>27</v>
      </c>
      <c r="R2" s="742" t="s">
        <v>4</v>
      </c>
      <c r="S2" s="741" t="s">
        <v>27</v>
      </c>
      <c r="T2" s="742" t="s">
        <v>4</v>
      </c>
      <c r="U2" s="741" t="s">
        <v>27</v>
      </c>
      <c r="V2" s="742" t="s">
        <v>4</v>
      </c>
      <c r="W2" s="741" t="s">
        <v>27</v>
      </c>
      <c r="X2" s="742" t="s">
        <v>4</v>
      </c>
      <c r="Y2" s="741" t="s">
        <v>27</v>
      </c>
      <c r="Z2" s="742" t="s">
        <v>4</v>
      </c>
      <c r="AA2" s="741" t="s">
        <v>27</v>
      </c>
      <c r="AB2" s="742" t="s">
        <v>4</v>
      </c>
    </row>
    <row r="3" ht="45.0" customHeight="1">
      <c r="A3" s="743" t="s">
        <v>29</v>
      </c>
      <c r="B3" s="744" t="s">
        <v>193</v>
      </c>
      <c r="C3" s="781">
        <v>8.75</v>
      </c>
      <c r="D3" s="782">
        <v>8.63</v>
      </c>
      <c r="E3" s="781">
        <v>8.63</v>
      </c>
      <c r="F3" s="782">
        <v>8.8</v>
      </c>
      <c r="G3" s="781">
        <v>8.52</v>
      </c>
      <c r="H3" s="782">
        <v>8.44</v>
      </c>
      <c r="I3" s="781">
        <v>8.33</v>
      </c>
      <c r="J3" s="782">
        <v>8.56</v>
      </c>
      <c r="K3" s="783">
        <v>7.95</v>
      </c>
      <c r="L3" s="784">
        <v>7.86</v>
      </c>
      <c r="M3" s="783">
        <v>8.13</v>
      </c>
      <c r="N3" s="784">
        <v>8.09</v>
      </c>
      <c r="O3" s="781">
        <v>8.33</v>
      </c>
      <c r="P3" s="784">
        <v>8.25</v>
      </c>
      <c r="Q3" s="785">
        <v>7.71</v>
      </c>
      <c r="R3" s="782">
        <v>8.5</v>
      </c>
      <c r="S3" s="786">
        <v>8.36</v>
      </c>
      <c r="T3" s="787">
        <v>9.09</v>
      </c>
      <c r="U3" s="788">
        <v>7.17</v>
      </c>
      <c r="V3" s="789">
        <v>6.88</v>
      </c>
      <c r="W3" s="788">
        <v>7.13</v>
      </c>
      <c r="X3" s="789">
        <v>6.63</v>
      </c>
      <c r="Y3" s="790">
        <v>8.25</v>
      </c>
      <c r="Z3" s="782">
        <v>8.67</v>
      </c>
      <c r="AA3" s="788">
        <v>7.73</v>
      </c>
      <c r="AB3" s="782">
        <v>8.6</v>
      </c>
    </row>
    <row r="4" ht="45.0" customHeight="1">
      <c r="B4" s="744" t="s">
        <v>194</v>
      </c>
      <c r="C4" s="747"/>
      <c r="D4" s="791">
        <v>8.25</v>
      </c>
      <c r="E4" s="747"/>
      <c r="F4" s="791">
        <v>8.2</v>
      </c>
      <c r="G4" s="747"/>
      <c r="H4" s="792">
        <v>8.56</v>
      </c>
      <c r="I4" s="747"/>
      <c r="J4" s="792">
        <v>8.78</v>
      </c>
      <c r="K4" s="747"/>
      <c r="L4" s="791">
        <v>8.14</v>
      </c>
      <c r="M4" s="747"/>
      <c r="N4" s="791">
        <v>8.18</v>
      </c>
      <c r="O4" s="747"/>
      <c r="P4" s="793">
        <v>7.75</v>
      </c>
      <c r="Q4" s="747"/>
      <c r="R4" s="793">
        <v>7.75</v>
      </c>
      <c r="S4" s="338"/>
      <c r="T4" s="792">
        <v>8.45</v>
      </c>
      <c r="U4" s="338"/>
      <c r="V4" s="791">
        <v>8.0</v>
      </c>
      <c r="W4" s="338"/>
      <c r="X4" s="793">
        <v>7.5</v>
      </c>
      <c r="Y4" s="338"/>
      <c r="Z4" s="793">
        <v>7.67</v>
      </c>
      <c r="AA4" s="338"/>
      <c r="AB4" s="793">
        <v>7.4</v>
      </c>
    </row>
    <row r="5" ht="45.0" customHeight="1">
      <c r="B5" s="744" t="s">
        <v>195</v>
      </c>
      <c r="C5" s="748"/>
      <c r="D5" s="794">
        <v>9.38</v>
      </c>
      <c r="E5" s="748"/>
      <c r="F5" s="794">
        <v>8.9</v>
      </c>
      <c r="G5" s="748"/>
      <c r="H5" s="792">
        <v>8.56</v>
      </c>
      <c r="I5" s="748"/>
      <c r="J5" s="793">
        <v>7.67</v>
      </c>
      <c r="K5" s="748"/>
      <c r="L5" s="791">
        <v>7.86</v>
      </c>
      <c r="M5" s="748"/>
      <c r="N5" s="791">
        <v>8.1</v>
      </c>
      <c r="O5" s="748"/>
      <c r="P5" s="794">
        <v>9.0</v>
      </c>
      <c r="Q5" s="748"/>
      <c r="R5" s="795">
        <v>6.82</v>
      </c>
      <c r="S5" s="547"/>
      <c r="T5" s="793">
        <v>7.55</v>
      </c>
      <c r="U5" s="547"/>
      <c r="V5" s="795">
        <v>6.57</v>
      </c>
      <c r="W5" s="547"/>
      <c r="X5" s="793">
        <v>7.25</v>
      </c>
      <c r="Y5" s="547"/>
      <c r="Z5" s="792">
        <v>8.42</v>
      </c>
      <c r="AA5" s="547"/>
      <c r="AB5" s="793">
        <v>7.2</v>
      </c>
    </row>
    <row r="6" ht="45.0" customHeight="1">
      <c r="A6" s="749" t="s">
        <v>35</v>
      </c>
      <c r="B6" s="750" t="s">
        <v>196</v>
      </c>
      <c r="C6" s="796">
        <v>8.49</v>
      </c>
      <c r="D6" s="792">
        <v>8.75</v>
      </c>
      <c r="E6" s="796">
        <v>8.59</v>
      </c>
      <c r="F6" s="794">
        <v>9.1</v>
      </c>
      <c r="G6" s="797">
        <v>8.15</v>
      </c>
      <c r="H6" s="792">
        <v>8.44</v>
      </c>
      <c r="I6" s="797">
        <v>8.29</v>
      </c>
      <c r="J6" s="792">
        <v>8.44</v>
      </c>
      <c r="K6" s="797">
        <v>8.21</v>
      </c>
      <c r="L6" s="792">
        <v>8.57</v>
      </c>
      <c r="M6" s="796">
        <v>8.69</v>
      </c>
      <c r="N6" s="794">
        <v>8.91</v>
      </c>
      <c r="O6" s="796">
        <v>8.55</v>
      </c>
      <c r="P6" s="792">
        <v>8.63</v>
      </c>
      <c r="Q6" s="797">
        <v>7.89</v>
      </c>
      <c r="R6" s="792">
        <v>8.33</v>
      </c>
      <c r="S6" s="798">
        <v>8.18</v>
      </c>
      <c r="T6" s="794">
        <v>8.91</v>
      </c>
      <c r="U6" s="799">
        <v>7.76</v>
      </c>
      <c r="V6" s="793">
        <v>7.63</v>
      </c>
      <c r="W6" s="798">
        <v>8.11</v>
      </c>
      <c r="X6" s="791">
        <v>8.0</v>
      </c>
      <c r="Y6" s="800">
        <v>8.51</v>
      </c>
      <c r="Z6" s="794">
        <v>9.0</v>
      </c>
      <c r="AA6" s="801">
        <v>6.93</v>
      </c>
      <c r="AB6" s="793">
        <v>7.2</v>
      </c>
    </row>
    <row r="7" ht="45.0" customHeight="1">
      <c r="B7" s="750" t="s">
        <v>197</v>
      </c>
      <c r="C7" s="747"/>
      <c r="D7" s="793">
        <v>7.63</v>
      </c>
      <c r="E7" s="747"/>
      <c r="F7" s="792">
        <v>8.5</v>
      </c>
      <c r="G7" s="747"/>
      <c r="H7" s="792">
        <v>8.67</v>
      </c>
      <c r="I7" s="747"/>
      <c r="J7" s="791">
        <v>8.0</v>
      </c>
      <c r="K7" s="747"/>
      <c r="L7" s="793">
        <v>7.71</v>
      </c>
      <c r="M7" s="747"/>
      <c r="N7" s="792">
        <v>8.55</v>
      </c>
      <c r="O7" s="747"/>
      <c r="P7" s="794">
        <v>8.88</v>
      </c>
      <c r="Q7" s="747"/>
      <c r="R7" s="791">
        <v>8.0</v>
      </c>
      <c r="S7" s="338"/>
      <c r="T7" s="792">
        <v>8.73</v>
      </c>
      <c r="U7" s="338"/>
      <c r="V7" s="793">
        <v>7.25</v>
      </c>
      <c r="W7" s="338"/>
      <c r="X7" s="791">
        <v>7.88</v>
      </c>
      <c r="Y7" s="338"/>
      <c r="Z7" s="794">
        <v>8.83</v>
      </c>
      <c r="AA7" s="338"/>
      <c r="AB7" s="795">
        <v>6.6</v>
      </c>
    </row>
    <row r="8" ht="45.0" customHeight="1">
      <c r="B8" s="750" t="s">
        <v>198</v>
      </c>
      <c r="C8" s="747"/>
      <c r="D8" s="792">
        <v>8.63</v>
      </c>
      <c r="E8" s="747"/>
      <c r="F8" s="794">
        <v>9.1</v>
      </c>
      <c r="G8" s="747"/>
      <c r="H8" s="792">
        <v>8.33</v>
      </c>
      <c r="I8" s="747"/>
      <c r="J8" s="792">
        <v>8.78</v>
      </c>
      <c r="K8" s="747"/>
      <c r="L8" s="792">
        <v>8.43</v>
      </c>
      <c r="M8" s="747"/>
      <c r="N8" s="794">
        <v>9.09</v>
      </c>
      <c r="O8" s="747"/>
      <c r="P8" s="794">
        <v>8.88</v>
      </c>
      <c r="Q8" s="747"/>
      <c r="R8" s="792">
        <v>8.42</v>
      </c>
      <c r="S8" s="338"/>
      <c r="T8" s="791">
        <v>8.18</v>
      </c>
      <c r="U8" s="338"/>
      <c r="V8" s="792">
        <v>8.38</v>
      </c>
      <c r="W8" s="338"/>
      <c r="X8" s="792">
        <v>8.75</v>
      </c>
      <c r="Y8" s="338"/>
      <c r="Z8" s="792">
        <v>8.8</v>
      </c>
      <c r="AA8" s="338"/>
      <c r="AB8" s="802">
        <v>6.0</v>
      </c>
    </row>
    <row r="9" ht="45.0" customHeight="1">
      <c r="B9" s="750" t="s">
        <v>199</v>
      </c>
      <c r="C9" s="747"/>
      <c r="D9" s="792">
        <v>8.63</v>
      </c>
      <c r="E9" s="747"/>
      <c r="F9" s="792">
        <v>8.5</v>
      </c>
      <c r="G9" s="747"/>
      <c r="H9" s="792">
        <v>8.56</v>
      </c>
      <c r="I9" s="747"/>
      <c r="J9" s="791">
        <v>7.89</v>
      </c>
      <c r="K9" s="747"/>
      <c r="L9" s="791">
        <v>8.14</v>
      </c>
      <c r="M9" s="747"/>
      <c r="N9" s="792">
        <v>8.36</v>
      </c>
      <c r="O9" s="747"/>
      <c r="P9" s="791">
        <v>8.13</v>
      </c>
      <c r="Q9" s="747"/>
      <c r="R9" s="791">
        <v>7.83</v>
      </c>
      <c r="S9" s="338"/>
      <c r="T9" s="793">
        <v>7.45</v>
      </c>
      <c r="U9" s="338"/>
      <c r="V9" s="791">
        <v>8.13</v>
      </c>
      <c r="W9" s="338"/>
      <c r="X9" s="793">
        <v>7.75</v>
      </c>
      <c r="Y9" s="338"/>
      <c r="Z9" s="791">
        <v>8.08</v>
      </c>
      <c r="AA9" s="338"/>
      <c r="AB9" s="791">
        <v>8.2</v>
      </c>
    </row>
    <row r="10" ht="45.0" customHeight="1">
      <c r="B10" s="750" t="s">
        <v>200</v>
      </c>
      <c r="C10" s="747"/>
      <c r="D10" s="792">
        <v>8.38</v>
      </c>
      <c r="E10" s="747"/>
      <c r="F10" s="791">
        <v>8.2</v>
      </c>
      <c r="G10" s="747"/>
      <c r="H10" s="791">
        <v>8.11</v>
      </c>
      <c r="I10" s="747"/>
      <c r="J10" s="792">
        <v>8.56</v>
      </c>
      <c r="K10" s="747"/>
      <c r="L10" s="791">
        <v>8.29</v>
      </c>
      <c r="M10" s="747"/>
      <c r="N10" s="792">
        <v>8.64</v>
      </c>
      <c r="O10" s="747"/>
      <c r="P10" s="791">
        <v>8.25</v>
      </c>
      <c r="Q10" s="747"/>
      <c r="R10" s="791">
        <v>7.83</v>
      </c>
      <c r="S10" s="338"/>
      <c r="T10" s="794">
        <v>8.91</v>
      </c>
      <c r="U10" s="338"/>
      <c r="V10" s="793">
        <v>7.75</v>
      </c>
      <c r="W10" s="338"/>
      <c r="X10" s="792">
        <v>8.5</v>
      </c>
      <c r="Y10" s="338"/>
      <c r="Z10" s="794">
        <v>8.83</v>
      </c>
      <c r="AA10" s="338"/>
      <c r="AB10" s="802">
        <v>6.2</v>
      </c>
    </row>
    <row r="11" ht="45.0" customHeight="1">
      <c r="B11" s="750" t="s">
        <v>201</v>
      </c>
      <c r="C11" s="747"/>
      <c r="D11" s="792">
        <v>8.71</v>
      </c>
      <c r="E11" s="747"/>
      <c r="F11" s="791">
        <v>8.0</v>
      </c>
      <c r="G11" s="747"/>
      <c r="H11" s="792">
        <v>8.5</v>
      </c>
      <c r="I11" s="747"/>
      <c r="J11" s="791">
        <v>7.89</v>
      </c>
      <c r="K11" s="747"/>
      <c r="L11" s="792">
        <v>8.5</v>
      </c>
      <c r="M11" s="747"/>
      <c r="N11" s="792">
        <v>8.36</v>
      </c>
      <c r="O11" s="747"/>
      <c r="P11" s="792">
        <v>8.5</v>
      </c>
      <c r="Q11" s="747"/>
      <c r="R11" s="793">
        <v>7.58</v>
      </c>
      <c r="S11" s="338"/>
      <c r="T11" s="793">
        <v>7.55</v>
      </c>
      <c r="U11" s="338"/>
      <c r="V11" s="791">
        <v>8.29</v>
      </c>
      <c r="W11" s="338"/>
      <c r="X11" s="793">
        <v>7.63</v>
      </c>
      <c r="Y11" s="338"/>
      <c r="Z11" s="792">
        <v>8.42</v>
      </c>
      <c r="AA11" s="338"/>
      <c r="AB11" s="791">
        <v>8.0</v>
      </c>
    </row>
    <row r="12" ht="45.0" customHeight="1">
      <c r="B12" s="803" t="s">
        <v>234</v>
      </c>
      <c r="C12" s="747"/>
      <c r="D12" s="792">
        <v>8.38</v>
      </c>
      <c r="E12" s="747"/>
      <c r="F12" s="792">
        <v>8.8</v>
      </c>
      <c r="G12" s="747"/>
      <c r="H12" s="802">
        <v>6.44</v>
      </c>
      <c r="I12" s="747"/>
      <c r="J12" s="791">
        <v>8.22</v>
      </c>
      <c r="K12" s="747"/>
      <c r="L12" s="793">
        <v>7.5</v>
      </c>
      <c r="M12" s="747"/>
      <c r="N12" s="792">
        <v>8.73</v>
      </c>
      <c r="O12" s="747"/>
      <c r="P12" s="792">
        <v>8.38</v>
      </c>
      <c r="Q12" s="747"/>
      <c r="R12" s="791">
        <v>7.83</v>
      </c>
      <c r="S12" s="338"/>
      <c r="T12" s="793">
        <v>7.36</v>
      </c>
      <c r="U12" s="338"/>
      <c r="V12" s="795">
        <v>6.88</v>
      </c>
      <c r="W12" s="338"/>
      <c r="X12" s="791">
        <v>8.25</v>
      </c>
      <c r="Y12" s="338"/>
      <c r="Z12" s="793">
        <v>7.25</v>
      </c>
      <c r="AA12" s="338"/>
      <c r="AB12" s="802">
        <v>6.2</v>
      </c>
    </row>
    <row r="13" ht="45.0" customHeight="1">
      <c r="B13" s="803" t="s">
        <v>235</v>
      </c>
      <c r="C13" s="804"/>
      <c r="D13" s="794">
        <v>8.88</v>
      </c>
      <c r="E13" s="804"/>
      <c r="F13" s="792">
        <v>8.5</v>
      </c>
      <c r="G13" s="804"/>
      <c r="H13" s="791">
        <v>8.22</v>
      </c>
      <c r="I13" s="804"/>
      <c r="J13" s="792">
        <v>8.56</v>
      </c>
      <c r="K13" s="804"/>
      <c r="L13" s="791">
        <v>8.29</v>
      </c>
      <c r="M13" s="804"/>
      <c r="N13" s="794">
        <v>8.91</v>
      </c>
      <c r="O13" s="804"/>
      <c r="P13" s="792">
        <v>8.75</v>
      </c>
      <c r="Q13" s="804"/>
      <c r="R13" s="793">
        <v>7.25</v>
      </c>
      <c r="S13" s="547"/>
      <c r="T13" s="792">
        <v>8.36</v>
      </c>
      <c r="U13" s="547"/>
      <c r="V13" s="791">
        <v>7.88</v>
      </c>
      <c r="W13" s="547"/>
      <c r="X13" s="791">
        <v>8.13</v>
      </c>
      <c r="Y13" s="547"/>
      <c r="Z13" s="794">
        <v>8.92</v>
      </c>
      <c r="AA13" s="547"/>
      <c r="AB13" s="795">
        <v>7.0</v>
      </c>
    </row>
    <row r="14" ht="45.0" customHeight="1">
      <c r="A14" s="753" t="s">
        <v>42</v>
      </c>
      <c r="B14" s="805" t="s">
        <v>236</v>
      </c>
      <c r="C14" s="797">
        <v>8.26</v>
      </c>
      <c r="D14" s="792">
        <v>8.75</v>
      </c>
      <c r="E14" s="796">
        <v>8.45</v>
      </c>
      <c r="F14" s="792">
        <v>8.8</v>
      </c>
      <c r="G14" s="796">
        <v>8.32</v>
      </c>
      <c r="H14" s="791">
        <v>8.0</v>
      </c>
      <c r="I14" s="797">
        <v>8.27</v>
      </c>
      <c r="J14" s="791">
        <v>8.11</v>
      </c>
      <c r="K14" s="797">
        <v>7.97</v>
      </c>
      <c r="L14" s="791">
        <v>7.86</v>
      </c>
      <c r="M14" s="797">
        <v>8.2</v>
      </c>
      <c r="N14" s="792">
        <v>8.6</v>
      </c>
      <c r="O14" s="797">
        <v>8.13</v>
      </c>
      <c r="P14" s="791">
        <v>8.25</v>
      </c>
      <c r="Q14" s="797">
        <v>7.87</v>
      </c>
      <c r="R14" s="793">
        <v>7.67</v>
      </c>
      <c r="S14" s="800">
        <v>8.31</v>
      </c>
      <c r="T14" s="792">
        <v>8.64</v>
      </c>
      <c r="U14" s="799">
        <v>7.13</v>
      </c>
      <c r="V14" s="802">
        <v>6.5</v>
      </c>
      <c r="W14" s="799">
        <v>7.15</v>
      </c>
      <c r="X14" s="795">
        <v>6.75</v>
      </c>
      <c r="Y14" s="800">
        <v>8.32</v>
      </c>
      <c r="Z14" s="792">
        <v>8.67</v>
      </c>
      <c r="AA14" s="799">
        <v>7.8</v>
      </c>
      <c r="AB14" s="793">
        <v>7.4</v>
      </c>
    </row>
    <row r="15" ht="45.0" customHeight="1">
      <c r="B15" s="754" t="s">
        <v>203</v>
      </c>
      <c r="C15" s="747"/>
      <c r="D15" s="792">
        <v>8.38</v>
      </c>
      <c r="E15" s="747"/>
      <c r="F15" s="792">
        <v>8.33</v>
      </c>
      <c r="G15" s="747"/>
      <c r="H15" s="791">
        <v>8.25</v>
      </c>
      <c r="I15" s="747"/>
      <c r="J15" s="791">
        <v>8.22</v>
      </c>
      <c r="K15" s="747"/>
      <c r="L15" s="791">
        <v>7.86</v>
      </c>
      <c r="M15" s="747"/>
      <c r="N15" s="791">
        <v>7.91</v>
      </c>
      <c r="O15" s="747"/>
      <c r="P15" s="793">
        <v>7.25</v>
      </c>
      <c r="Q15" s="747"/>
      <c r="R15" s="791">
        <v>7.83</v>
      </c>
      <c r="S15" s="338"/>
      <c r="T15" s="791">
        <v>8.09</v>
      </c>
      <c r="U15" s="338"/>
      <c r="V15" s="793">
        <v>7.25</v>
      </c>
      <c r="W15" s="338"/>
      <c r="X15" s="793">
        <v>7.13</v>
      </c>
      <c r="Y15" s="338"/>
      <c r="Z15" s="792">
        <v>8.64</v>
      </c>
      <c r="AA15" s="338"/>
      <c r="AB15" s="791">
        <v>8.2</v>
      </c>
    </row>
    <row r="16" ht="45.0" customHeight="1">
      <c r="B16" s="754" t="s">
        <v>204</v>
      </c>
      <c r="C16" s="747"/>
      <c r="D16" s="792">
        <v>8.71</v>
      </c>
      <c r="E16" s="747"/>
      <c r="F16" s="791">
        <v>8.0</v>
      </c>
      <c r="G16" s="747"/>
      <c r="H16" s="792">
        <v>8.78</v>
      </c>
      <c r="I16" s="747"/>
      <c r="J16" s="792">
        <v>8.78</v>
      </c>
      <c r="K16" s="747"/>
      <c r="L16" s="792">
        <v>8.57</v>
      </c>
      <c r="M16" s="747"/>
      <c r="N16" s="792">
        <v>8.55</v>
      </c>
      <c r="O16" s="747"/>
      <c r="P16" s="792">
        <v>8.5</v>
      </c>
      <c r="Q16" s="747"/>
      <c r="R16" s="791">
        <v>7.92</v>
      </c>
      <c r="S16" s="338"/>
      <c r="T16" s="792">
        <v>8.64</v>
      </c>
      <c r="U16" s="338"/>
      <c r="V16" s="792">
        <v>8.63</v>
      </c>
      <c r="W16" s="338"/>
      <c r="X16" s="791">
        <v>8.13</v>
      </c>
      <c r="Y16" s="338"/>
      <c r="Z16" s="795">
        <v>7.08</v>
      </c>
      <c r="AA16" s="338"/>
      <c r="AB16" s="793">
        <v>7.4</v>
      </c>
    </row>
    <row r="17" ht="45.0" customHeight="1">
      <c r="B17" s="754" t="s">
        <v>205</v>
      </c>
      <c r="C17" s="747"/>
      <c r="D17" s="791">
        <v>7.88</v>
      </c>
      <c r="E17" s="747"/>
      <c r="F17" s="791">
        <v>8.3</v>
      </c>
      <c r="G17" s="747"/>
      <c r="H17" s="792">
        <v>8.33</v>
      </c>
      <c r="I17" s="747"/>
      <c r="J17" s="791">
        <v>8.0</v>
      </c>
      <c r="K17" s="747"/>
      <c r="L17" s="791">
        <v>8.0</v>
      </c>
      <c r="M17" s="747"/>
      <c r="N17" s="793">
        <v>7.55</v>
      </c>
      <c r="O17" s="747"/>
      <c r="P17" s="791">
        <v>8.25</v>
      </c>
      <c r="Q17" s="747"/>
      <c r="R17" s="791">
        <v>7.92</v>
      </c>
      <c r="S17" s="338"/>
      <c r="T17" s="792">
        <v>8.55</v>
      </c>
      <c r="U17" s="338"/>
      <c r="V17" s="802">
        <v>6.38</v>
      </c>
      <c r="W17" s="338"/>
      <c r="X17" s="795">
        <v>6.88</v>
      </c>
      <c r="Y17" s="338"/>
      <c r="Z17" s="792">
        <v>8.58</v>
      </c>
      <c r="AA17" s="338"/>
      <c r="AB17" s="791">
        <v>8.2</v>
      </c>
    </row>
    <row r="18" ht="45.0" customHeight="1">
      <c r="B18" s="754" t="s">
        <v>206</v>
      </c>
      <c r="C18" s="804"/>
      <c r="D18" s="793">
        <v>7.57</v>
      </c>
      <c r="E18" s="804"/>
      <c r="F18" s="792">
        <v>8.8</v>
      </c>
      <c r="G18" s="804"/>
      <c r="H18" s="791">
        <v>8.22</v>
      </c>
      <c r="I18" s="804"/>
      <c r="J18" s="791">
        <v>8.22</v>
      </c>
      <c r="K18" s="804"/>
      <c r="L18" s="793">
        <v>7.57</v>
      </c>
      <c r="M18" s="804"/>
      <c r="N18" s="792">
        <v>8.45</v>
      </c>
      <c r="O18" s="804"/>
      <c r="P18" s="792">
        <v>8.38</v>
      </c>
      <c r="Q18" s="804"/>
      <c r="R18" s="791">
        <v>8.0</v>
      </c>
      <c r="S18" s="547"/>
      <c r="T18" s="793">
        <v>7.64</v>
      </c>
      <c r="U18" s="547"/>
      <c r="V18" s="795">
        <v>6.88</v>
      </c>
      <c r="W18" s="547"/>
      <c r="X18" s="795">
        <v>6.88</v>
      </c>
      <c r="Y18" s="547"/>
      <c r="Z18" s="792">
        <v>8.67</v>
      </c>
      <c r="AA18" s="547"/>
      <c r="AB18" s="793">
        <v>7.8</v>
      </c>
    </row>
    <row r="19" ht="45.0" customHeight="1">
      <c r="A19" s="756" t="s">
        <v>49</v>
      </c>
      <c r="B19" s="757" t="s">
        <v>207</v>
      </c>
      <c r="C19" s="796">
        <v>8.72</v>
      </c>
      <c r="D19" s="792">
        <v>8.75</v>
      </c>
      <c r="E19" s="796">
        <v>8.78</v>
      </c>
      <c r="F19" s="792">
        <v>8.7</v>
      </c>
      <c r="G19" s="806">
        <v>8.86</v>
      </c>
      <c r="H19" s="794">
        <v>8.89</v>
      </c>
      <c r="I19" s="806">
        <v>8.81</v>
      </c>
      <c r="J19" s="794">
        <v>8.89</v>
      </c>
      <c r="K19" s="796">
        <v>8.36</v>
      </c>
      <c r="L19" s="791">
        <v>8.29</v>
      </c>
      <c r="M19" s="796">
        <v>8.73</v>
      </c>
      <c r="N19" s="792">
        <v>8.64</v>
      </c>
      <c r="O19" s="797">
        <v>8.06</v>
      </c>
      <c r="P19" s="793">
        <v>7.63</v>
      </c>
      <c r="Q19" s="806">
        <v>8.85</v>
      </c>
      <c r="R19" s="794">
        <v>9.08</v>
      </c>
      <c r="S19" s="807">
        <v>9.16</v>
      </c>
      <c r="T19" s="794">
        <v>9.45</v>
      </c>
      <c r="U19" s="799">
        <v>7.72</v>
      </c>
      <c r="V19" s="793">
        <v>7.25</v>
      </c>
      <c r="W19" s="801">
        <v>7.0</v>
      </c>
      <c r="X19" s="795">
        <v>6.63</v>
      </c>
      <c r="Y19" s="800">
        <v>8.71</v>
      </c>
      <c r="Z19" s="792">
        <v>8.75</v>
      </c>
      <c r="AA19" s="807">
        <v>8.95</v>
      </c>
      <c r="AB19" s="794">
        <v>9.2</v>
      </c>
    </row>
    <row r="20" ht="45.0" customHeight="1">
      <c r="B20" s="757" t="s">
        <v>208</v>
      </c>
      <c r="C20" s="747"/>
      <c r="D20" s="794">
        <v>8.88</v>
      </c>
      <c r="E20" s="747"/>
      <c r="F20" s="792">
        <v>8.5</v>
      </c>
      <c r="G20" s="747"/>
      <c r="H20" s="792">
        <v>8.78</v>
      </c>
      <c r="I20" s="747"/>
      <c r="J20" s="794">
        <v>8.89</v>
      </c>
      <c r="K20" s="747"/>
      <c r="L20" s="794">
        <v>8.86</v>
      </c>
      <c r="M20" s="747"/>
      <c r="N20" s="792">
        <v>8.55</v>
      </c>
      <c r="O20" s="747"/>
      <c r="P20" s="791">
        <v>8.13</v>
      </c>
      <c r="Q20" s="747"/>
      <c r="R20" s="792">
        <v>8.42</v>
      </c>
      <c r="S20" s="338"/>
      <c r="T20" s="794">
        <v>8.91</v>
      </c>
      <c r="U20" s="338"/>
      <c r="V20" s="794">
        <v>8.88</v>
      </c>
      <c r="W20" s="338"/>
      <c r="X20" s="792">
        <v>8.38</v>
      </c>
      <c r="Y20" s="338"/>
      <c r="Z20" s="791">
        <v>8.25</v>
      </c>
      <c r="AA20" s="338"/>
      <c r="AB20" s="792">
        <v>8.8</v>
      </c>
    </row>
    <row r="21" ht="45.0" customHeight="1">
      <c r="B21" s="757" t="s">
        <v>237</v>
      </c>
      <c r="C21" s="747"/>
      <c r="D21" s="792">
        <v>8.63</v>
      </c>
      <c r="E21" s="747"/>
      <c r="F21" s="794">
        <v>9.0</v>
      </c>
      <c r="G21" s="747"/>
      <c r="H21" s="794">
        <v>9.0</v>
      </c>
      <c r="I21" s="747"/>
      <c r="J21" s="794">
        <v>8.89</v>
      </c>
      <c r="K21" s="747"/>
      <c r="L21" s="792">
        <v>8.43</v>
      </c>
      <c r="M21" s="747"/>
      <c r="N21" s="794">
        <v>8.91</v>
      </c>
      <c r="O21" s="747"/>
      <c r="P21" s="791">
        <v>8.0</v>
      </c>
      <c r="Q21" s="747"/>
      <c r="R21" s="794">
        <v>9.0</v>
      </c>
      <c r="S21" s="338"/>
      <c r="T21" s="794">
        <v>9.18</v>
      </c>
      <c r="U21" s="338"/>
      <c r="V21" s="793">
        <v>7.63</v>
      </c>
      <c r="W21" s="338"/>
      <c r="X21" s="802">
        <v>6.5</v>
      </c>
      <c r="Y21" s="338"/>
      <c r="Z21" s="794">
        <v>8.83</v>
      </c>
      <c r="AA21" s="338"/>
      <c r="AB21" s="794">
        <v>9.0</v>
      </c>
    </row>
    <row r="22" ht="45.0" customHeight="1">
      <c r="B22" s="808" t="s">
        <v>238</v>
      </c>
      <c r="C22" s="748"/>
      <c r="D22" s="792">
        <v>8.63</v>
      </c>
      <c r="E22" s="748"/>
      <c r="F22" s="794">
        <v>8.9</v>
      </c>
      <c r="G22" s="748"/>
      <c r="H22" s="792">
        <v>8.78</v>
      </c>
      <c r="I22" s="748"/>
      <c r="J22" s="792">
        <v>8.56</v>
      </c>
      <c r="K22" s="748"/>
      <c r="L22" s="791">
        <v>7.86</v>
      </c>
      <c r="M22" s="748"/>
      <c r="N22" s="794">
        <v>8.82</v>
      </c>
      <c r="O22" s="748"/>
      <c r="P22" s="792">
        <v>8.5</v>
      </c>
      <c r="Q22" s="748"/>
      <c r="R22" s="794">
        <v>8.92</v>
      </c>
      <c r="S22" s="547"/>
      <c r="T22" s="794">
        <v>9.09</v>
      </c>
      <c r="U22" s="547"/>
      <c r="V22" s="793">
        <v>7.13</v>
      </c>
      <c r="W22" s="547"/>
      <c r="X22" s="802">
        <v>6.5</v>
      </c>
      <c r="Y22" s="547"/>
      <c r="Z22" s="794">
        <v>9.0</v>
      </c>
      <c r="AA22" s="547"/>
      <c r="AB22" s="792">
        <v>8.8</v>
      </c>
    </row>
    <row r="23" ht="45.0" customHeight="1">
      <c r="A23" s="759" t="s">
        <v>54</v>
      </c>
      <c r="B23" s="809" t="s">
        <v>239</v>
      </c>
      <c r="C23" s="797">
        <v>7.92</v>
      </c>
      <c r="D23" s="793">
        <v>7.75</v>
      </c>
      <c r="E23" s="796">
        <v>8.37</v>
      </c>
      <c r="F23" s="791">
        <v>8.3</v>
      </c>
      <c r="G23" s="796">
        <v>8.59</v>
      </c>
      <c r="H23" s="792">
        <v>8.56</v>
      </c>
      <c r="I23" s="796">
        <v>8.56</v>
      </c>
      <c r="J23" s="792">
        <v>8.44</v>
      </c>
      <c r="K23" s="797">
        <v>7.95</v>
      </c>
      <c r="L23" s="791">
        <v>7.86</v>
      </c>
      <c r="M23" s="797">
        <v>8.3</v>
      </c>
      <c r="N23" s="793">
        <v>7.45</v>
      </c>
      <c r="O23" s="797">
        <v>8.0</v>
      </c>
      <c r="P23" s="792">
        <v>8.38</v>
      </c>
      <c r="Q23" s="797">
        <v>7.97</v>
      </c>
      <c r="R23" s="791">
        <v>8.08</v>
      </c>
      <c r="S23" s="800">
        <v>8.39</v>
      </c>
      <c r="T23" s="793">
        <v>7.64</v>
      </c>
      <c r="U23" s="799">
        <v>7.67</v>
      </c>
      <c r="V23" s="793">
        <v>7.5</v>
      </c>
      <c r="W23" s="799">
        <v>7.71</v>
      </c>
      <c r="X23" s="791">
        <v>8.0</v>
      </c>
      <c r="Y23" s="798">
        <v>8.22</v>
      </c>
      <c r="Z23" s="792">
        <v>8.42</v>
      </c>
      <c r="AA23" s="799">
        <v>7.4</v>
      </c>
      <c r="AB23" s="793">
        <v>7.4</v>
      </c>
    </row>
    <row r="24" ht="45.0" customHeight="1">
      <c r="B24" s="809" t="s">
        <v>240</v>
      </c>
      <c r="C24" s="747"/>
      <c r="D24" s="793">
        <v>7.5</v>
      </c>
      <c r="E24" s="747"/>
      <c r="F24" s="792">
        <v>8.6</v>
      </c>
      <c r="G24" s="747"/>
      <c r="H24" s="792">
        <v>8.56</v>
      </c>
      <c r="I24" s="747"/>
      <c r="J24" s="792">
        <v>8.44</v>
      </c>
      <c r="K24" s="747"/>
      <c r="L24" s="793">
        <v>7.43</v>
      </c>
      <c r="M24" s="747"/>
      <c r="N24" s="794">
        <v>8.82</v>
      </c>
      <c r="O24" s="747"/>
      <c r="P24" s="793">
        <v>7.13</v>
      </c>
      <c r="Q24" s="747"/>
      <c r="R24" s="793">
        <v>7.75</v>
      </c>
      <c r="S24" s="338"/>
      <c r="T24" s="792">
        <v>8.73</v>
      </c>
      <c r="U24" s="338"/>
      <c r="V24" s="795">
        <v>6.63</v>
      </c>
      <c r="W24" s="338"/>
      <c r="X24" s="795">
        <v>6.88</v>
      </c>
      <c r="Y24" s="338"/>
      <c r="Z24" s="791">
        <v>8.17</v>
      </c>
      <c r="AA24" s="338"/>
      <c r="AB24" s="793">
        <v>7.2</v>
      </c>
    </row>
    <row r="25" ht="45.0" customHeight="1">
      <c r="B25" s="809" t="s">
        <v>241</v>
      </c>
      <c r="C25" s="804"/>
      <c r="D25" s="792">
        <v>8.5</v>
      </c>
      <c r="E25" s="804"/>
      <c r="F25" s="791">
        <v>8.2</v>
      </c>
      <c r="G25" s="804"/>
      <c r="H25" s="792">
        <v>8.67</v>
      </c>
      <c r="I25" s="804"/>
      <c r="J25" s="792">
        <v>8.78</v>
      </c>
      <c r="K25" s="804"/>
      <c r="L25" s="792">
        <v>8.57</v>
      </c>
      <c r="M25" s="804"/>
      <c r="N25" s="792">
        <v>8.64</v>
      </c>
      <c r="O25" s="804"/>
      <c r="P25" s="792">
        <v>8.57</v>
      </c>
      <c r="Q25" s="804"/>
      <c r="R25" s="791">
        <v>8.08</v>
      </c>
      <c r="S25" s="547"/>
      <c r="T25" s="794">
        <v>8.82</v>
      </c>
      <c r="U25" s="547"/>
      <c r="V25" s="794">
        <v>8.88</v>
      </c>
      <c r="W25" s="547"/>
      <c r="X25" s="791">
        <v>8.25</v>
      </c>
      <c r="Y25" s="547"/>
      <c r="Z25" s="791">
        <v>8.08</v>
      </c>
      <c r="AA25" s="547"/>
      <c r="AB25" s="793">
        <v>7.6</v>
      </c>
    </row>
    <row r="26" ht="45.0" customHeight="1">
      <c r="A26" s="762" t="s">
        <v>60</v>
      </c>
      <c r="B26" s="810" t="s">
        <v>242</v>
      </c>
      <c r="C26" s="800">
        <v>8.38</v>
      </c>
      <c r="D26" s="791">
        <v>8.25</v>
      </c>
      <c r="E26" s="800">
        <v>8.73</v>
      </c>
      <c r="F26" s="792">
        <v>8.8</v>
      </c>
      <c r="G26" s="800">
        <v>8.42</v>
      </c>
      <c r="H26" s="791">
        <v>8.11</v>
      </c>
      <c r="I26" s="800">
        <v>8.44</v>
      </c>
      <c r="J26" s="792">
        <v>8.44</v>
      </c>
      <c r="K26" s="798">
        <v>8.18</v>
      </c>
      <c r="L26" s="791">
        <v>8.0</v>
      </c>
      <c r="M26" s="798">
        <v>8.3</v>
      </c>
      <c r="N26" s="791">
        <v>7.91</v>
      </c>
      <c r="O26" s="799">
        <v>7.78</v>
      </c>
      <c r="P26" s="793">
        <v>7.63</v>
      </c>
      <c r="Q26" s="798">
        <v>8.17</v>
      </c>
      <c r="R26" s="791">
        <v>7.92</v>
      </c>
      <c r="S26" s="807">
        <v>8.89</v>
      </c>
      <c r="T26" s="794">
        <v>8.82</v>
      </c>
      <c r="U26" s="801">
        <v>7.09</v>
      </c>
      <c r="V26" s="795">
        <v>6.75</v>
      </c>
      <c r="W26" s="801">
        <v>6.84</v>
      </c>
      <c r="X26" s="795">
        <v>6.63</v>
      </c>
      <c r="Y26" s="800">
        <v>8.56</v>
      </c>
      <c r="Z26" s="792">
        <v>8.58</v>
      </c>
      <c r="AA26" s="798">
        <v>8.2</v>
      </c>
      <c r="AB26" s="793">
        <v>7.6</v>
      </c>
    </row>
    <row r="27" ht="45.0" customHeight="1">
      <c r="B27" s="810" t="s">
        <v>243</v>
      </c>
      <c r="C27" s="338"/>
      <c r="D27" s="794">
        <v>9.13</v>
      </c>
      <c r="E27" s="338"/>
      <c r="F27" s="792">
        <v>8.8</v>
      </c>
      <c r="G27" s="338"/>
      <c r="H27" s="792">
        <v>8.78</v>
      </c>
      <c r="I27" s="338"/>
      <c r="J27" s="791">
        <v>7.89</v>
      </c>
      <c r="K27" s="338"/>
      <c r="L27" s="791">
        <v>8.14</v>
      </c>
      <c r="M27" s="338"/>
      <c r="N27" s="791">
        <v>8.18</v>
      </c>
      <c r="O27" s="338"/>
      <c r="P27" s="791">
        <v>8.13</v>
      </c>
      <c r="Q27" s="338"/>
      <c r="R27" s="793">
        <v>7.58</v>
      </c>
      <c r="S27" s="338"/>
      <c r="T27" s="791">
        <v>8.27</v>
      </c>
      <c r="U27" s="338"/>
      <c r="V27" s="795">
        <v>6.88</v>
      </c>
      <c r="W27" s="338"/>
      <c r="X27" s="795">
        <v>6.75</v>
      </c>
      <c r="Y27" s="338"/>
      <c r="Z27" s="792">
        <v>8.58</v>
      </c>
      <c r="AA27" s="338"/>
      <c r="AB27" s="791">
        <v>8.0</v>
      </c>
    </row>
    <row r="28" ht="45.0" customHeight="1">
      <c r="B28" s="810" t="s">
        <v>216</v>
      </c>
      <c r="C28" s="338"/>
      <c r="D28" s="791">
        <v>8.25</v>
      </c>
      <c r="E28" s="338"/>
      <c r="F28" s="791">
        <v>8.3</v>
      </c>
      <c r="G28" s="338"/>
      <c r="H28" s="792">
        <v>8.44</v>
      </c>
      <c r="I28" s="338"/>
      <c r="J28" s="794">
        <v>8.89</v>
      </c>
      <c r="K28" s="338"/>
      <c r="L28" s="792">
        <v>8.57</v>
      </c>
      <c r="M28" s="338"/>
      <c r="N28" s="792">
        <v>8.36</v>
      </c>
      <c r="O28" s="338"/>
      <c r="P28" s="793">
        <v>7.63</v>
      </c>
      <c r="Q28" s="338"/>
      <c r="R28" s="792">
        <v>8.42</v>
      </c>
      <c r="S28" s="338"/>
      <c r="T28" s="794">
        <v>9.09</v>
      </c>
      <c r="U28" s="338"/>
      <c r="V28" s="793">
        <v>7.75</v>
      </c>
      <c r="W28" s="338"/>
      <c r="X28" s="793">
        <v>7.5</v>
      </c>
      <c r="Y28" s="338"/>
      <c r="Z28" s="791">
        <v>7.92</v>
      </c>
      <c r="AA28" s="338"/>
      <c r="AB28" s="791">
        <v>8.2</v>
      </c>
    </row>
    <row r="29" ht="45.0" customHeight="1">
      <c r="A29" s="6"/>
      <c r="B29" s="810" t="s">
        <v>244</v>
      </c>
      <c r="C29" s="547"/>
      <c r="D29" s="791">
        <v>7.88</v>
      </c>
      <c r="E29" s="547"/>
      <c r="F29" s="794">
        <v>9.0</v>
      </c>
      <c r="G29" s="547"/>
      <c r="H29" s="792">
        <v>8.33</v>
      </c>
      <c r="I29" s="547"/>
      <c r="J29" s="792">
        <v>8.56</v>
      </c>
      <c r="K29" s="547"/>
      <c r="L29" s="791">
        <v>8.0</v>
      </c>
      <c r="M29" s="547"/>
      <c r="N29" s="792">
        <v>8.73</v>
      </c>
      <c r="O29" s="547"/>
      <c r="P29" s="793">
        <v>7.75</v>
      </c>
      <c r="Q29" s="547"/>
      <c r="R29" s="792">
        <v>8.75</v>
      </c>
      <c r="S29" s="547"/>
      <c r="T29" s="794">
        <v>9.36</v>
      </c>
      <c r="U29" s="547"/>
      <c r="V29" s="795">
        <v>7.0</v>
      </c>
      <c r="W29" s="547"/>
      <c r="X29" s="802">
        <v>6.5</v>
      </c>
      <c r="Y29" s="547"/>
      <c r="Z29" s="794">
        <v>9.17</v>
      </c>
      <c r="AA29" s="547"/>
      <c r="AB29" s="794">
        <v>9.0</v>
      </c>
    </row>
    <row r="30">
      <c r="A30" s="765"/>
      <c r="B30" s="765"/>
      <c r="C30" s="811" t="s">
        <v>188</v>
      </c>
      <c r="D30" s="800">
        <f>AVERAGE(D3:D29)</f>
        <v>8.432962963</v>
      </c>
      <c r="E30" s="811" t="s">
        <v>188</v>
      </c>
      <c r="F30" s="800">
        <f>AVERAGE(F3:F29)</f>
        <v>8.59</v>
      </c>
      <c r="G30" s="811" t="s">
        <v>188</v>
      </c>
      <c r="H30" s="800">
        <f>AVERAGE(H3:H29)</f>
        <v>8.418888889</v>
      </c>
      <c r="I30" s="811" t="s">
        <v>188</v>
      </c>
      <c r="J30" s="800">
        <f>AVERAGE(J3:J29)</f>
        <v>8.42037037</v>
      </c>
      <c r="K30" s="811" t="s">
        <v>188</v>
      </c>
      <c r="L30" s="798">
        <f>AVERAGE(L3:L29)</f>
        <v>8.117037037</v>
      </c>
      <c r="M30" s="811" t="s">
        <v>188</v>
      </c>
      <c r="N30" s="800">
        <f>AVERAGE(N3:N29)</f>
        <v>8.444074074</v>
      </c>
      <c r="O30" s="811" t="s">
        <v>188</v>
      </c>
      <c r="P30" s="798">
        <f>AVERAGE(P3:P29)</f>
        <v>8.204074074</v>
      </c>
      <c r="Q30" s="811" t="s">
        <v>188</v>
      </c>
      <c r="R30" s="798">
        <f>AVERAGE(R3:R29)</f>
        <v>8.054814815</v>
      </c>
      <c r="S30" s="811" t="s">
        <v>188</v>
      </c>
      <c r="T30" s="800">
        <f>AVERAGE(T3:T29)</f>
        <v>8.498518519</v>
      </c>
      <c r="U30" s="811" t="s">
        <v>188</v>
      </c>
      <c r="V30" s="799">
        <f>AVERAGE(V3:V29)</f>
        <v>7.465185185</v>
      </c>
      <c r="W30" s="811" t="s">
        <v>188</v>
      </c>
      <c r="X30" s="799">
        <f>AVERAGE(X3:X29)</f>
        <v>7.428148148</v>
      </c>
      <c r="Y30" s="811" t="s">
        <v>188</v>
      </c>
      <c r="Z30" s="800">
        <f>AVERAGE(Z3:Z29)</f>
        <v>8.454814815</v>
      </c>
      <c r="AA30" s="766" t="s">
        <v>188</v>
      </c>
      <c r="AB30" s="767">
        <f>AVERAGE(AB3:AB29)</f>
        <v>7.718518519</v>
      </c>
    </row>
    <row r="31">
      <c r="A31" s="765"/>
      <c r="B31" s="765"/>
      <c r="C31" s="768"/>
      <c r="D31" s="768"/>
      <c r="E31" s="768"/>
      <c r="F31" s="768"/>
      <c r="G31" s="768"/>
      <c r="H31" s="768"/>
      <c r="I31" s="768"/>
      <c r="J31" s="768"/>
      <c r="K31" s="768"/>
      <c r="L31" s="768"/>
      <c r="M31" s="768"/>
      <c r="N31" s="768"/>
      <c r="O31" s="768"/>
      <c r="P31" s="768"/>
      <c r="Q31" s="768"/>
      <c r="R31" s="768"/>
      <c r="S31" s="768"/>
      <c r="T31" s="768"/>
      <c r="U31" s="768"/>
      <c r="V31" s="768"/>
      <c r="W31" s="768"/>
      <c r="X31" s="768"/>
      <c r="Y31" s="768"/>
      <c r="Z31" s="768"/>
      <c r="AA31" s="768"/>
      <c r="AB31" s="768"/>
    </row>
    <row r="32">
      <c r="A32" s="765"/>
      <c r="B32" s="765"/>
      <c r="C32" s="769"/>
      <c r="D32" s="769"/>
      <c r="E32" s="769"/>
      <c r="F32" s="769"/>
      <c r="G32" s="770"/>
      <c r="H32" s="770"/>
      <c r="I32" s="770"/>
      <c r="J32" s="770"/>
      <c r="K32" s="770"/>
      <c r="L32" s="770"/>
      <c r="M32" s="769"/>
      <c r="N32" s="769"/>
      <c r="O32" s="769"/>
      <c r="P32" s="769"/>
      <c r="Q32" s="769"/>
      <c r="R32" s="769"/>
      <c r="S32" s="769"/>
      <c r="T32" s="769"/>
      <c r="U32" s="769"/>
      <c r="V32" s="769"/>
      <c r="W32" s="769"/>
      <c r="X32" s="769"/>
      <c r="Y32" s="769"/>
      <c r="Z32" s="769"/>
      <c r="AA32" s="769"/>
      <c r="AB32" s="769"/>
    </row>
    <row r="33" ht="132.75" customHeight="1">
      <c r="A33" s="765"/>
      <c r="B33" s="771" t="s">
        <v>70</v>
      </c>
      <c r="C33" s="772" t="s">
        <v>245</v>
      </c>
      <c r="D33" s="812"/>
      <c r="E33" s="772" t="s">
        <v>246</v>
      </c>
      <c r="F33" s="812"/>
      <c r="G33" s="772" t="s">
        <v>247</v>
      </c>
      <c r="H33" s="812"/>
      <c r="I33" s="772" t="s">
        <v>248</v>
      </c>
      <c r="J33" s="812"/>
      <c r="K33" s="772" t="s">
        <v>249</v>
      </c>
      <c r="L33" s="812"/>
      <c r="M33" s="774" t="s">
        <v>250</v>
      </c>
      <c r="N33" s="813"/>
      <c r="O33" s="774" t="s">
        <v>251</v>
      </c>
      <c r="P33" s="813"/>
      <c r="Q33" s="774" t="s">
        <v>252</v>
      </c>
      <c r="R33" s="813"/>
      <c r="S33" s="774" t="s">
        <v>253</v>
      </c>
      <c r="T33" s="813"/>
      <c r="U33" s="774" t="s">
        <v>254</v>
      </c>
      <c r="V33" s="813"/>
      <c r="W33" s="774" t="s">
        <v>255</v>
      </c>
      <c r="X33" s="813"/>
      <c r="Y33" s="774" t="s">
        <v>256</v>
      </c>
      <c r="Z33" s="813"/>
      <c r="AA33" s="772" t="s">
        <v>257</v>
      </c>
      <c r="AB33" s="812"/>
    </row>
    <row r="34" ht="130.5" customHeight="1">
      <c r="A34" s="765"/>
      <c r="B34" s="776" t="s">
        <v>73</v>
      </c>
      <c r="C34" s="772" t="s">
        <v>258</v>
      </c>
      <c r="D34" s="812"/>
      <c r="E34" s="772" t="s">
        <v>259</v>
      </c>
      <c r="F34" s="812"/>
      <c r="G34" s="772" t="s">
        <v>260</v>
      </c>
      <c r="H34" s="812"/>
      <c r="I34" s="772" t="s">
        <v>261</v>
      </c>
      <c r="J34" s="812"/>
      <c r="K34" s="772" t="s">
        <v>262</v>
      </c>
      <c r="L34" s="812"/>
      <c r="M34" s="777" t="s">
        <v>263</v>
      </c>
      <c r="N34" s="814"/>
      <c r="O34" s="777" t="s">
        <v>264</v>
      </c>
      <c r="P34" s="814"/>
      <c r="Q34" s="777" t="s">
        <v>265</v>
      </c>
      <c r="R34" s="814"/>
      <c r="S34" s="777" t="s">
        <v>266</v>
      </c>
      <c r="T34" s="814"/>
      <c r="U34" s="777" t="s">
        <v>267</v>
      </c>
      <c r="V34" s="814"/>
      <c r="W34" s="772" t="s">
        <v>268</v>
      </c>
      <c r="X34" s="812"/>
      <c r="Y34" s="772" t="s">
        <v>269</v>
      </c>
      <c r="Z34" s="812"/>
      <c r="AA34" s="772" t="s">
        <v>270</v>
      </c>
      <c r="AB34" s="812"/>
    </row>
    <row r="35">
      <c r="A35" s="765"/>
      <c r="B35" s="765"/>
      <c r="C35" s="765"/>
      <c r="D35" s="765"/>
      <c r="E35" s="765"/>
      <c r="F35" s="765"/>
      <c r="G35" s="765"/>
      <c r="H35" s="765"/>
      <c r="I35" s="765"/>
      <c r="J35" s="765"/>
      <c r="K35" s="765"/>
      <c r="L35" s="765"/>
      <c r="M35" s="765"/>
      <c r="N35" s="765"/>
      <c r="O35" s="765"/>
      <c r="P35" s="765"/>
      <c r="Q35" s="765"/>
      <c r="R35" s="765"/>
      <c r="S35" s="765"/>
      <c r="T35" s="765"/>
      <c r="U35" s="765"/>
      <c r="V35" s="765"/>
      <c r="W35" s="765"/>
      <c r="X35" s="765"/>
      <c r="Y35" s="765"/>
      <c r="Z35" s="765"/>
      <c r="AA35" s="765"/>
      <c r="AB35" s="765"/>
    </row>
    <row r="36">
      <c r="A36" s="765"/>
      <c r="B36" s="765"/>
      <c r="C36" s="765"/>
      <c r="D36" s="765"/>
      <c r="E36" s="765"/>
      <c r="F36" s="765"/>
      <c r="G36" s="765"/>
      <c r="H36" s="765"/>
      <c r="I36" s="765"/>
      <c r="J36" s="765"/>
      <c r="K36" s="765"/>
      <c r="L36" s="765"/>
      <c r="M36" s="765"/>
      <c r="N36" s="765"/>
      <c r="O36" s="765"/>
      <c r="P36" s="765"/>
      <c r="Q36" s="765"/>
      <c r="R36" s="765"/>
      <c r="S36" s="765"/>
      <c r="T36" s="765"/>
      <c r="U36" s="765"/>
      <c r="V36" s="765"/>
      <c r="W36" s="765"/>
      <c r="X36" s="765"/>
      <c r="Y36" s="765"/>
      <c r="Z36" s="765"/>
      <c r="AA36" s="765"/>
      <c r="AB36" s="765"/>
    </row>
  </sheetData>
  <mergeCells count="149">
    <mergeCell ref="K3:K5"/>
    <mergeCell ref="K6:K13"/>
    <mergeCell ref="K14:K18"/>
    <mergeCell ref="M14:M18"/>
    <mergeCell ref="O14:O18"/>
    <mergeCell ref="Q14:Q18"/>
    <mergeCell ref="S14:S18"/>
    <mergeCell ref="Y6:Y13"/>
    <mergeCell ref="Y14:Y18"/>
    <mergeCell ref="AA14:AA18"/>
    <mergeCell ref="M6:M13"/>
    <mergeCell ref="O6:O13"/>
    <mergeCell ref="Q6:Q13"/>
    <mergeCell ref="S6:S13"/>
    <mergeCell ref="U6:U13"/>
    <mergeCell ref="W6:W13"/>
    <mergeCell ref="AA6:AA13"/>
    <mergeCell ref="Q1:R1"/>
    <mergeCell ref="S1:T1"/>
    <mergeCell ref="U1:V1"/>
    <mergeCell ref="W1:X1"/>
    <mergeCell ref="Y1:Z1"/>
    <mergeCell ref="AA1:AB1"/>
    <mergeCell ref="C1:D1"/>
    <mergeCell ref="E1:F1"/>
    <mergeCell ref="G1:H1"/>
    <mergeCell ref="I1:J1"/>
    <mergeCell ref="K1:L1"/>
    <mergeCell ref="M1:N1"/>
    <mergeCell ref="O1:P1"/>
    <mergeCell ref="O3:O5"/>
    <mergeCell ref="Q3:Q5"/>
    <mergeCell ref="S3:S5"/>
    <mergeCell ref="U3:U5"/>
    <mergeCell ref="W3:W5"/>
    <mergeCell ref="Y3:Y5"/>
    <mergeCell ref="AA3:AA5"/>
    <mergeCell ref="A3:A5"/>
    <mergeCell ref="E3:E5"/>
    <mergeCell ref="I3:I5"/>
    <mergeCell ref="M3:M5"/>
    <mergeCell ref="A6:A13"/>
    <mergeCell ref="E6:E13"/>
    <mergeCell ref="I6:I13"/>
    <mergeCell ref="U14:U18"/>
    <mergeCell ref="W14:W18"/>
    <mergeCell ref="M19:M22"/>
    <mergeCell ref="O19:O22"/>
    <mergeCell ref="Q19:Q22"/>
    <mergeCell ref="S19:S22"/>
    <mergeCell ref="U19:U22"/>
    <mergeCell ref="W19:W22"/>
    <mergeCell ref="Y19:Y22"/>
    <mergeCell ref="AA19:AA22"/>
    <mergeCell ref="G3:G5"/>
    <mergeCell ref="G6:G13"/>
    <mergeCell ref="G14:G18"/>
    <mergeCell ref="I14:I18"/>
    <mergeCell ref="G19:G22"/>
    <mergeCell ref="I19:I22"/>
    <mergeCell ref="K19:K22"/>
    <mergeCell ref="R30:R31"/>
    <mergeCell ref="S30:S31"/>
    <mergeCell ref="AB30:AB31"/>
    <mergeCell ref="K30:K31"/>
    <mergeCell ref="L30:L31"/>
    <mergeCell ref="M30:M31"/>
    <mergeCell ref="N30:N31"/>
    <mergeCell ref="O30:O31"/>
    <mergeCell ref="P30:P31"/>
    <mergeCell ref="Q30:Q31"/>
    <mergeCell ref="C19:C22"/>
    <mergeCell ref="C26:C29"/>
    <mergeCell ref="G26:G29"/>
    <mergeCell ref="I26:I29"/>
    <mergeCell ref="K26:K29"/>
    <mergeCell ref="M26:M29"/>
    <mergeCell ref="O26:O29"/>
    <mergeCell ref="D30:D31"/>
    <mergeCell ref="E30:E31"/>
    <mergeCell ref="F30:F31"/>
    <mergeCell ref="G30:G31"/>
    <mergeCell ref="H30:H31"/>
    <mergeCell ref="I30:I31"/>
    <mergeCell ref="J30:J31"/>
    <mergeCell ref="Q33:R33"/>
    <mergeCell ref="S33:T33"/>
    <mergeCell ref="U33:V33"/>
    <mergeCell ref="W33:X33"/>
    <mergeCell ref="Y33:Z33"/>
    <mergeCell ref="AA33:AB33"/>
    <mergeCell ref="AA34:AB34"/>
    <mergeCell ref="C33:D33"/>
    <mergeCell ref="E33:F33"/>
    <mergeCell ref="G33:H33"/>
    <mergeCell ref="I33:J33"/>
    <mergeCell ref="K33:L33"/>
    <mergeCell ref="M33:N33"/>
    <mergeCell ref="O33:P33"/>
    <mergeCell ref="M23:M25"/>
    <mergeCell ref="O23:O25"/>
    <mergeCell ref="Q23:Q25"/>
    <mergeCell ref="S23:S25"/>
    <mergeCell ref="U23:U25"/>
    <mergeCell ref="W23:W25"/>
    <mergeCell ref="Y23:Y25"/>
    <mergeCell ref="AA23:AA25"/>
    <mergeCell ref="A19:A22"/>
    <mergeCell ref="A23:A25"/>
    <mergeCell ref="C23:C25"/>
    <mergeCell ref="E23:E25"/>
    <mergeCell ref="G23:G25"/>
    <mergeCell ref="I23:I25"/>
    <mergeCell ref="K23:K25"/>
    <mergeCell ref="Q26:Q29"/>
    <mergeCell ref="S26:S29"/>
    <mergeCell ref="U26:U29"/>
    <mergeCell ref="W26:W29"/>
    <mergeCell ref="Y26:Y29"/>
    <mergeCell ref="AA26:AA29"/>
    <mergeCell ref="C14:C18"/>
    <mergeCell ref="C30:C31"/>
    <mergeCell ref="C3:C5"/>
    <mergeCell ref="C6:C13"/>
    <mergeCell ref="A14:A18"/>
    <mergeCell ref="E14:E18"/>
    <mergeCell ref="E19:E22"/>
    <mergeCell ref="A26:A29"/>
    <mergeCell ref="E26:E29"/>
    <mergeCell ref="T30:T31"/>
    <mergeCell ref="U30:U31"/>
    <mergeCell ref="V30:V31"/>
    <mergeCell ref="W30:W31"/>
    <mergeCell ref="X30:X31"/>
    <mergeCell ref="Y30:Y31"/>
    <mergeCell ref="Z30:Z31"/>
    <mergeCell ref="AA30:AA31"/>
    <mergeCell ref="Q34:R34"/>
    <mergeCell ref="S34:T34"/>
    <mergeCell ref="U34:V34"/>
    <mergeCell ref="W34:X34"/>
    <mergeCell ref="Y34:Z34"/>
    <mergeCell ref="C34:D34"/>
    <mergeCell ref="E34:F34"/>
    <mergeCell ref="G34:H34"/>
    <mergeCell ref="I34:J34"/>
    <mergeCell ref="K34:L34"/>
    <mergeCell ref="M34:N34"/>
    <mergeCell ref="O34:P34"/>
  </mergeCells>
  <conditionalFormatting sqref="AB30:AB31">
    <cfRule type="cellIs" dxfId="1" priority="1" operator="greaterThan">
      <formula>8.8</formula>
    </cfRule>
  </conditionalFormatting>
  <conditionalFormatting sqref="AB30:AB31">
    <cfRule type="cellIs" dxfId="12" priority="2" operator="between">
      <formula>8.300001</formula>
      <formula>8.8</formula>
    </cfRule>
  </conditionalFormatting>
  <conditionalFormatting sqref="AB30:AB31">
    <cfRule type="cellIs" dxfId="3" priority="3" operator="between">
      <formula>7.800001</formula>
      <formula>8.3</formula>
    </cfRule>
  </conditionalFormatting>
  <conditionalFormatting sqref="AB30:AB31">
    <cfRule type="cellIs" dxfId="4" priority="4" operator="between">
      <formula>6.50001</formula>
      <formula>7.1</formula>
    </cfRule>
  </conditionalFormatting>
  <conditionalFormatting sqref="AB30:AB31">
    <cfRule type="cellIs" dxfId="5" priority="5" operator="between">
      <formula>7.10001</formula>
      <formula>7.8</formula>
    </cfRule>
  </conditionalFormatting>
  <conditionalFormatting sqref="C3:AB26 C30:AA30 AB30:AB31">
    <cfRule type="cellIs" dxfId="6" priority="6" operator="between">
      <formula>0</formula>
      <formula>6.5</formula>
    </cfRule>
  </conditionalFormatting>
  <conditionalFormatting sqref="C3:AB26 C30:AB30">
    <cfRule type="cellIs" dxfId="4" priority="7" operator="between">
      <formula>6.50001</formula>
      <formula>7.2</formula>
    </cfRule>
  </conditionalFormatting>
  <conditionalFormatting sqref="C3:AB26 C30:AB30">
    <cfRule type="cellIs" dxfId="5" priority="8" operator="between">
      <formula>7.20001</formula>
      <formula>8</formula>
    </cfRule>
  </conditionalFormatting>
  <conditionalFormatting sqref="C3:AB26 C30:AB30">
    <cfRule type="cellIs" dxfId="3" priority="9" operator="between">
      <formula>8.0001</formula>
      <formula>8.5</formula>
    </cfRule>
  </conditionalFormatting>
  <conditionalFormatting sqref="C3:AB26 C30:AB30">
    <cfRule type="cellIs" dxfId="12" priority="10" operator="between">
      <formula>8.50001</formula>
      <formula>9</formula>
    </cfRule>
  </conditionalFormatting>
  <conditionalFormatting sqref="C3:AB26 C30:AB30">
    <cfRule type="cellIs" dxfId="1" priority="11" operator="greaterThan">
      <formula>9</formula>
    </cfRule>
  </conditionalFormatting>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55.14"/>
  </cols>
  <sheetData>
    <row r="1" ht="45.0" customHeight="1">
      <c r="A1" s="765"/>
      <c r="B1" s="765"/>
      <c r="C1" s="779" t="s">
        <v>225</v>
      </c>
      <c r="D1" s="43"/>
      <c r="E1" s="779" t="s">
        <v>226</v>
      </c>
      <c r="F1" s="43"/>
      <c r="G1" s="779" t="s">
        <v>189</v>
      </c>
      <c r="H1" s="43"/>
      <c r="I1" s="779" t="s">
        <v>227</v>
      </c>
      <c r="J1" s="43"/>
      <c r="K1" s="779" t="s">
        <v>228</v>
      </c>
      <c r="L1" s="43"/>
      <c r="M1" s="740" t="s">
        <v>192</v>
      </c>
      <c r="N1" s="43"/>
      <c r="O1" s="779" t="s">
        <v>229</v>
      </c>
      <c r="P1" s="43"/>
      <c r="Q1" s="779" t="s">
        <v>230</v>
      </c>
      <c r="R1" s="43"/>
      <c r="S1" s="780" t="s">
        <v>190</v>
      </c>
      <c r="U1" s="780" t="s">
        <v>231</v>
      </c>
      <c r="W1" s="780" t="s">
        <v>232</v>
      </c>
      <c r="Y1" s="780" t="s">
        <v>191</v>
      </c>
      <c r="AA1" s="780" t="s">
        <v>233</v>
      </c>
      <c r="AC1" s="780" t="s">
        <v>271</v>
      </c>
      <c r="AE1" s="780" t="s">
        <v>272</v>
      </c>
      <c r="AG1" s="780" t="s">
        <v>273</v>
      </c>
      <c r="AI1" s="780" t="s">
        <v>274</v>
      </c>
      <c r="AK1" s="780" t="s">
        <v>275</v>
      </c>
      <c r="AM1" s="780" t="s">
        <v>276</v>
      </c>
      <c r="AO1" s="780" t="s">
        <v>277</v>
      </c>
      <c r="AQ1" s="779" t="s">
        <v>278</v>
      </c>
      <c r="AR1" s="44"/>
      <c r="AS1" s="779" t="s">
        <v>279</v>
      </c>
      <c r="AT1" s="44"/>
      <c r="AU1" s="780"/>
      <c r="AV1" s="780"/>
    </row>
    <row r="2" ht="45.0" customHeight="1">
      <c r="A2" s="765"/>
      <c r="B2" s="765"/>
      <c r="C2" s="741" t="s">
        <v>27</v>
      </c>
      <c r="D2" s="742" t="s">
        <v>4</v>
      </c>
      <c r="E2" s="741" t="s">
        <v>27</v>
      </c>
      <c r="F2" s="742" t="s">
        <v>4</v>
      </c>
      <c r="G2" s="741" t="s">
        <v>27</v>
      </c>
      <c r="H2" s="742" t="s">
        <v>4</v>
      </c>
      <c r="I2" s="741" t="s">
        <v>27</v>
      </c>
      <c r="J2" s="742" t="s">
        <v>4</v>
      </c>
      <c r="K2" s="741" t="s">
        <v>27</v>
      </c>
      <c r="L2" s="742" t="s">
        <v>4</v>
      </c>
      <c r="M2" s="741" t="s">
        <v>27</v>
      </c>
      <c r="N2" s="742" t="s">
        <v>4</v>
      </c>
      <c r="O2" s="741" t="s">
        <v>27</v>
      </c>
      <c r="P2" s="742" t="s">
        <v>4</v>
      </c>
      <c r="Q2" s="741" t="s">
        <v>27</v>
      </c>
      <c r="R2" s="742" t="s">
        <v>4</v>
      </c>
      <c r="S2" s="741" t="s">
        <v>27</v>
      </c>
      <c r="T2" s="742" t="s">
        <v>4</v>
      </c>
      <c r="U2" s="741" t="s">
        <v>27</v>
      </c>
      <c r="V2" s="742" t="s">
        <v>4</v>
      </c>
      <c r="W2" s="741" t="s">
        <v>27</v>
      </c>
      <c r="X2" s="742" t="s">
        <v>4</v>
      </c>
      <c r="Y2" s="741" t="s">
        <v>27</v>
      </c>
      <c r="Z2" s="742" t="s">
        <v>4</v>
      </c>
      <c r="AA2" s="741" t="s">
        <v>27</v>
      </c>
      <c r="AB2" s="742" t="s">
        <v>4</v>
      </c>
      <c r="AC2" s="741" t="s">
        <v>27</v>
      </c>
      <c r="AD2" s="742" t="s">
        <v>4</v>
      </c>
      <c r="AE2" s="741" t="s">
        <v>27</v>
      </c>
      <c r="AF2" s="742" t="s">
        <v>4</v>
      </c>
      <c r="AG2" s="741" t="s">
        <v>27</v>
      </c>
      <c r="AH2" s="742" t="s">
        <v>4</v>
      </c>
      <c r="AI2" s="741" t="s">
        <v>27</v>
      </c>
      <c r="AJ2" s="742" t="s">
        <v>4</v>
      </c>
      <c r="AK2" s="741" t="s">
        <v>27</v>
      </c>
      <c r="AL2" s="742" t="s">
        <v>4</v>
      </c>
      <c r="AM2" s="741" t="s">
        <v>27</v>
      </c>
      <c r="AN2" s="742" t="s">
        <v>4</v>
      </c>
      <c r="AO2" s="741" t="s">
        <v>27</v>
      </c>
      <c r="AP2" s="742" t="s">
        <v>4</v>
      </c>
      <c r="AQ2" s="741" t="s">
        <v>27</v>
      </c>
      <c r="AR2" s="742" t="s">
        <v>4</v>
      </c>
      <c r="AS2" s="741" t="s">
        <v>27</v>
      </c>
      <c r="AT2" s="742" t="s">
        <v>4</v>
      </c>
      <c r="AU2" s="780"/>
      <c r="AV2" s="780"/>
    </row>
    <row r="3" ht="45.0" customHeight="1">
      <c r="A3" s="815" t="s">
        <v>29</v>
      </c>
      <c r="B3" s="816" t="s">
        <v>193</v>
      </c>
      <c r="C3" s="817">
        <v>8.75</v>
      </c>
      <c r="D3" s="818">
        <v>8.67</v>
      </c>
      <c r="E3" s="817">
        <v>8.62</v>
      </c>
      <c r="F3" s="818">
        <v>8.8</v>
      </c>
      <c r="G3" s="819">
        <v>8.5</v>
      </c>
      <c r="H3" s="820">
        <v>8.5</v>
      </c>
      <c r="I3" s="821">
        <v>8.34</v>
      </c>
      <c r="J3" s="820">
        <v>8.25</v>
      </c>
      <c r="K3" s="822">
        <v>7.95</v>
      </c>
      <c r="L3" s="823">
        <v>7.91</v>
      </c>
      <c r="M3" s="821">
        <v>8.32</v>
      </c>
      <c r="N3" s="820">
        <v>8.14</v>
      </c>
      <c r="O3" s="821">
        <v>8.32</v>
      </c>
      <c r="P3" s="820">
        <v>8.29</v>
      </c>
      <c r="Q3" s="822">
        <v>7.81</v>
      </c>
      <c r="R3" s="823">
        <v>8.0</v>
      </c>
      <c r="S3" s="822">
        <v>7.98</v>
      </c>
      <c r="T3" s="820">
        <v>8.1</v>
      </c>
      <c r="U3" s="822">
        <v>7.23</v>
      </c>
      <c r="V3" s="823">
        <v>7.3</v>
      </c>
      <c r="W3" s="824">
        <v>6.75</v>
      </c>
      <c r="X3" s="825">
        <v>6.27</v>
      </c>
      <c r="Y3" s="821">
        <v>8.41</v>
      </c>
      <c r="Z3" s="826">
        <v>9.15</v>
      </c>
      <c r="AA3" s="824">
        <v>6.93</v>
      </c>
      <c r="AB3" s="827">
        <v>7.4</v>
      </c>
      <c r="AC3" s="822">
        <v>7.44</v>
      </c>
      <c r="AD3" s="828">
        <v>6.75</v>
      </c>
      <c r="AE3" s="821">
        <v>8.5</v>
      </c>
      <c r="AF3" s="820">
        <v>8.5</v>
      </c>
      <c r="AG3" s="822">
        <v>7.54</v>
      </c>
      <c r="AH3" s="828">
        <v>7.14</v>
      </c>
      <c r="AI3" s="822">
        <v>7.8</v>
      </c>
      <c r="AJ3" s="818">
        <v>8.7</v>
      </c>
      <c r="AK3" s="824">
        <v>7.15</v>
      </c>
      <c r="AL3" s="828">
        <v>7.1</v>
      </c>
      <c r="AM3" s="822">
        <v>7.23</v>
      </c>
      <c r="AN3" s="828">
        <v>7.0</v>
      </c>
      <c r="AO3" s="821">
        <v>8.33</v>
      </c>
      <c r="AP3" s="823">
        <v>7.5</v>
      </c>
      <c r="AQ3" s="821">
        <v>8.25</v>
      </c>
      <c r="AR3" s="820">
        <v>8.17</v>
      </c>
      <c r="AS3" s="822">
        <v>7.79</v>
      </c>
      <c r="AT3" s="820">
        <v>8.13</v>
      </c>
      <c r="AU3" s="780"/>
      <c r="AV3" s="780"/>
    </row>
    <row r="4" ht="45.0" customHeight="1">
      <c r="B4" s="816" t="s">
        <v>194</v>
      </c>
      <c r="C4" s="829"/>
      <c r="D4" s="830">
        <v>8.33</v>
      </c>
      <c r="E4" s="829"/>
      <c r="F4" s="746">
        <v>7.8</v>
      </c>
      <c r="G4" s="831"/>
      <c r="H4" s="830">
        <v>8.5</v>
      </c>
      <c r="I4" s="829"/>
      <c r="J4" s="830">
        <v>8.38</v>
      </c>
      <c r="K4" s="829"/>
      <c r="L4" s="746">
        <v>7.82</v>
      </c>
      <c r="M4" s="829"/>
      <c r="N4" s="832">
        <v>8.71</v>
      </c>
      <c r="O4" s="829"/>
      <c r="P4" s="746">
        <v>7.71</v>
      </c>
      <c r="Q4" s="829"/>
      <c r="R4" s="746">
        <v>7.92</v>
      </c>
      <c r="S4" s="829"/>
      <c r="T4" s="830">
        <v>8.3</v>
      </c>
      <c r="U4" s="829"/>
      <c r="V4" s="746">
        <v>7.5</v>
      </c>
      <c r="W4" s="829"/>
      <c r="X4" s="833">
        <v>6.64</v>
      </c>
      <c r="Y4" s="829"/>
      <c r="Z4" s="746">
        <v>7.25</v>
      </c>
      <c r="AA4" s="829"/>
      <c r="AB4" s="834">
        <v>6.9</v>
      </c>
      <c r="AC4" s="829"/>
      <c r="AD4" s="832">
        <v>9.0</v>
      </c>
      <c r="AE4" s="829"/>
      <c r="AF4" s="832">
        <v>8.75</v>
      </c>
      <c r="AG4" s="829"/>
      <c r="AH4" s="832">
        <v>8.71</v>
      </c>
      <c r="AI4" s="829"/>
      <c r="AJ4" s="746">
        <v>7.4</v>
      </c>
      <c r="AK4" s="829"/>
      <c r="AL4" s="746">
        <v>7.9</v>
      </c>
      <c r="AM4" s="829"/>
      <c r="AN4" s="746">
        <v>7.4</v>
      </c>
      <c r="AO4" s="829"/>
      <c r="AP4" s="830">
        <v>8.5</v>
      </c>
      <c r="AQ4" s="829"/>
      <c r="AR4" s="830">
        <v>8.33</v>
      </c>
      <c r="AS4" s="829"/>
      <c r="AT4" s="830">
        <v>8.13</v>
      </c>
      <c r="AU4" s="780"/>
      <c r="AV4" s="780"/>
    </row>
    <row r="5" ht="45.0" customHeight="1">
      <c r="B5" s="816" t="s">
        <v>195</v>
      </c>
      <c r="C5" s="829"/>
      <c r="D5" s="835">
        <v>9.22</v>
      </c>
      <c r="E5" s="829"/>
      <c r="F5" s="832">
        <v>9.0</v>
      </c>
      <c r="G5" s="831"/>
      <c r="H5" s="830">
        <v>8.5</v>
      </c>
      <c r="I5" s="829"/>
      <c r="J5" s="746">
        <v>7.86</v>
      </c>
      <c r="K5" s="829"/>
      <c r="L5" s="746">
        <v>7.36</v>
      </c>
      <c r="M5" s="829"/>
      <c r="N5" s="746">
        <v>7.57</v>
      </c>
      <c r="O5" s="829"/>
      <c r="P5" s="832">
        <v>9.0</v>
      </c>
      <c r="Q5" s="829"/>
      <c r="R5" s="833">
        <v>6.75</v>
      </c>
      <c r="S5" s="829"/>
      <c r="T5" s="833">
        <v>7.11</v>
      </c>
      <c r="U5" s="829"/>
      <c r="V5" s="836">
        <v>6.3</v>
      </c>
      <c r="W5" s="829"/>
      <c r="X5" s="833">
        <v>6.73</v>
      </c>
      <c r="Y5" s="829"/>
      <c r="Z5" s="832">
        <v>8.6</v>
      </c>
      <c r="AA5" s="829"/>
      <c r="AB5" s="837">
        <v>6.3</v>
      </c>
      <c r="AC5" s="829"/>
      <c r="AD5" s="836">
        <v>5.0</v>
      </c>
      <c r="AE5" s="829"/>
      <c r="AF5" s="830">
        <v>8.5</v>
      </c>
      <c r="AG5" s="829"/>
      <c r="AH5" s="836">
        <v>5.86</v>
      </c>
      <c r="AI5" s="829"/>
      <c r="AJ5" s="833">
        <v>6.9</v>
      </c>
      <c r="AK5" s="829"/>
      <c r="AL5" s="836">
        <v>6.0</v>
      </c>
      <c r="AM5" s="829"/>
      <c r="AN5" s="833">
        <v>6.7</v>
      </c>
      <c r="AO5" s="829"/>
      <c r="AP5" s="832">
        <v>9.0</v>
      </c>
      <c r="AQ5" s="829"/>
      <c r="AR5" s="830">
        <v>8.17</v>
      </c>
      <c r="AS5" s="829"/>
      <c r="AT5" s="746">
        <v>7.43</v>
      </c>
      <c r="AU5" s="780"/>
      <c r="AV5" s="780"/>
    </row>
    <row r="6" ht="45.0" customHeight="1">
      <c r="B6" s="816" t="s">
        <v>280</v>
      </c>
      <c r="C6" s="838"/>
      <c r="D6" s="832">
        <v>8.78</v>
      </c>
      <c r="E6" s="838"/>
      <c r="F6" s="832">
        <v>8.89</v>
      </c>
      <c r="G6" s="839"/>
      <c r="H6" s="830">
        <v>8.5</v>
      </c>
      <c r="I6" s="838"/>
      <c r="J6" s="832">
        <v>8.88</v>
      </c>
      <c r="K6" s="838"/>
      <c r="L6" s="832">
        <v>8.73</v>
      </c>
      <c r="M6" s="838"/>
      <c r="N6" s="832">
        <v>8.86</v>
      </c>
      <c r="O6" s="838"/>
      <c r="P6" s="830">
        <v>8.29</v>
      </c>
      <c r="Q6" s="838"/>
      <c r="R6" s="832">
        <v>8.58</v>
      </c>
      <c r="S6" s="838"/>
      <c r="T6" s="830">
        <v>8.41</v>
      </c>
      <c r="U6" s="838"/>
      <c r="V6" s="746">
        <v>7.8</v>
      </c>
      <c r="W6" s="838"/>
      <c r="X6" s="746">
        <v>7.36</v>
      </c>
      <c r="Y6" s="838"/>
      <c r="Z6" s="832">
        <v>8.65</v>
      </c>
      <c r="AA6" s="838"/>
      <c r="AB6" s="834">
        <v>7.1</v>
      </c>
      <c r="AC6" s="838"/>
      <c r="AD6" s="832">
        <v>9.0</v>
      </c>
      <c r="AE6" s="838"/>
      <c r="AF6" s="830">
        <v>8.25</v>
      </c>
      <c r="AG6" s="838"/>
      <c r="AH6" s="830">
        <v>8.43</v>
      </c>
      <c r="AI6" s="838"/>
      <c r="AJ6" s="830">
        <v>8.2</v>
      </c>
      <c r="AK6" s="838"/>
      <c r="AL6" s="746">
        <v>7.6</v>
      </c>
      <c r="AM6" s="838"/>
      <c r="AN6" s="746">
        <v>7.8</v>
      </c>
      <c r="AO6" s="838"/>
      <c r="AP6" s="830">
        <v>8.33</v>
      </c>
      <c r="AQ6" s="838"/>
      <c r="AR6" s="830">
        <v>8.33</v>
      </c>
      <c r="AS6" s="838"/>
      <c r="AT6" s="746">
        <v>7.5</v>
      </c>
      <c r="AU6" s="780"/>
      <c r="AV6" s="780"/>
    </row>
    <row r="7" ht="45.0" customHeight="1">
      <c r="A7" s="840" t="s">
        <v>35</v>
      </c>
      <c r="B7" s="803" t="s">
        <v>196</v>
      </c>
      <c r="C7" s="841">
        <v>8.44</v>
      </c>
      <c r="D7" s="832">
        <v>8.78</v>
      </c>
      <c r="E7" s="842">
        <v>8.69</v>
      </c>
      <c r="F7" s="835">
        <v>9.1</v>
      </c>
      <c r="G7" s="843">
        <v>7.94</v>
      </c>
      <c r="H7" s="830">
        <v>8.5</v>
      </c>
      <c r="I7" s="842">
        <v>8.57</v>
      </c>
      <c r="J7" s="832">
        <v>8.75</v>
      </c>
      <c r="K7" s="841">
        <v>8.03</v>
      </c>
      <c r="L7" s="832">
        <v>8.91</v>
      </c>
      <c r="M7" s="842">
        <v>8.92</v>
      </c>
      <c r="N7" s="835">
        <v>9.14</v>
      </c>
      <c r="O7" s="841">
        <v>8.27</v>
      </c>
      <c r="P7" s="830">
        <v>8.36</v>
      </c>
      <c r="Q7" s="841">
        <v>8.23</v>
      </c>
      <c r="R7" s="832">
        <v>8.73</v>
      </c>
      <c r="S7" s="841">
        <v>8.22</v>
      </c>
      <c r="T7" s="832">
        <v>8.74</v>
      </c>
      <c r="U7" s="844">
        <v>7.77</v>
      </c>
      <c r="V7" s="746">
        <v>7.7</v>
      </c>
      <c r="W7" s="844">
        <v>7.6</v>
      </c>
      <c r="X7" s="746">
        <v>7.55</v>
      </c>
      <c r="Y7" s="842">
        <v>8.59</v>
      </c>
      <c r="Z7" s="832">
        <v>8.82</v>
      </c>
      <c r="AA7" s="845">
        <v>7.2</v>
      </c>
      <c r="AB7" s="834">
        <v>6.6</v>
      </c>
      <c r="AC7" s="841">
        <v>8.22</v>
      </c>
      <c r="AD7" s="832">
        <v>9.0</v>
      </c>
      <c r="AE7" s="844">
        <v>7.92</v>
      </c>
      <c r="AF7" s="832">
        <v>9.0</v>
      </c>
      <c r="AG7" s="841">
        <v>8.4</v>
      </c>
      <c r="AH7" s="832">
        <v>9.0</v>
      </c>
      <c r="AI7" s="844">
        <v>7.31</v>
      </c>
      <c r="AJ7" s="746">
        <v>7.7</v>
      </c>
      <c r="AK7" s="844">
        <v>7.67</v>
      </c>
      <c r="AL7" s="746">
        <v>7.7</v>
      </c>
      <c r="AM7" s="844">
        <v>7.69</v>
      </c>
      <c r="AN7" s="830">
        <v>8.2</v>
      </c>
      <c r="AO7" s="844">
        <v>7.84</v>
      </c>
      <c r="AP7" s="746">
        <v>8.0</v>
      </c>
      <c r="AQ7" s="841">
        <v>8.17</v>
      </c>
      <c r="AR7" s="746">
        <v>7.83</v>
      </c>
      <c r="AS7" s="844">
        <v>7.85</v>
      </c>
      <c r="AT7" s="746">
        <v>8.0</v>
      </c>
      <c r="AU7" s="780"/>
      <c r="AV7" s="780"/>
    </row>
    <row r="8" ht="45.0" customHeight="1">
      <c r="B8" s="803" t="s">
        <v>197</v>
      </c>
      <c r="C8" s="829"/>
      <c r="D8" s="832">
        <v>8.78</v>
      </c>
      <c r="E8" s="829"/>
      <c r="F8" s="835">
        <v>9.3</v>
      </c>
      <c r="G8" s="831"/>
      <c r="H8" s="832">
        <v>9.0</v>
      </c>
      <c r="I8" s="829"/>
      <c r="J8" s="832">
        <v>8.86</v>
      </c>
      <c r="K8" s="829"/>
      <c r="L8" s="830">
        <v>8.18</v>
      </c>
      <c r="M8" s="829"/>
      <c r="N8" s="835">
        <v>9.43</v>
      </c>
      <c r="O8" s="829"/>
      <c r="P8" s="832">
        <v>8.79</v>
      </c>
      <c r="Q8" s="829"/>
      <c r="R8" s="832">
        <v>8.67</v>
      </c>
      <c r="S8" s="829"/>
      <c r="T8" s="832">
        <v>8.68</v>
      </c>
      <c r="U8" s="829"/>
      <c r="V8" s="746">
        <v>8.0</v>
      </c>
      <c r="W8" s="829"/>
      <c r="X8" s="746">
        <v>7.55</v>
      </c>
      <c r="Y8" s="829"/>
      <c r="Z8" s="835">
        <v>9.2</v>
      </c>
      <c r="AA8" s="829"/>
      <c r="AB8" s="846">
        <v>7.4</v>
      </c>
      <c r="AC8" s="829"/>
      <c r="AD8" s="746">
        <v>8.0</v>
      </c>
      <c r="AE8" s="829"/>
      <c r="AF8" s="746">
        <v>7.75</v>
      </c>
      <c r="AG8" s="829"/>
      <c r="AH8" s="746">
        <v>7.57</v>
      </c>
      <c r="AI8" s="829"/>
      <c r="AJ8" s="833">
        <v>7.0</v>
      </c>
      <c r="AK8" s="829"/>
      <c r="AL8" s="833">
        <v>6.7</v>
      </c>
      <c r="AM8" s="829"/>
      <c r="AN8" s="746">
        <v>7.6</v>
      </c>
      <c r="AO8" s="829"/>
      <c r="AP8" s="746">
        <v>7.67</v>
      </c>
      <c r="AQ8" s="829"/>
      <c r="AR8" s="830">
        <v>8.5</v>
      </c>
      <c r="AS8" s="829"/>
      <c r="AT8" s="746">
        <v>7.29</v>
      </c>
      <c r="AU8" s="780"/>
      <c r="AV8" s="780"/>
    </row>
    <row r="9" ht="45.0" customHeight="1">
      <c r="B9" s="803" t="s">
        <v>198</v>
      </c>
      <c r="C9" s="829"/>
      <c r="D9" s="832">
        <v>8.56</v>
      </c>
      <c r="E9" s="829"/>
      <c r="F9" s="835">
        <v>9.1</v>
      </c>
      <c r="G9" s="831"/>
      <c r="H9" s="830">
        <v>8.5</v>
      </c>
      <c r="I9" s="829"/>
      <c r="J9" s="835">
        <v>9.13</v>
      </c>
      <c r="K9" s="829"/>
      <c r="L9" s="832">
        <v>8.91</v>
      </c>
      <c r="M9" s="829"/>
      <c r="N9" s="832">
        <v>9.0</v>
      </c>
      <c r="O9" s="829"/>
      <c r="P9" s="830">
        <v>8.43</v>
      </c>
      <c r="Q9" s="829"/>
      <c r="R9" s="832">
        <v>8.82</v>
      </c>
      <c r="S9" s="829"/>
      <c r="T9" s="832">
        <v>8.79</v>
      </c>
      <c r="U9" s="829"/>
      <c r="V9" s="830">
        <v>8.22</v>
      </c>
      <c r="W9" s="829"/>
      <c r="X9" s="833">
        <v>7.18</v>
      </c>
      <c r="Y9" s="829"/>
      <c r="Z9" s="832">
        <v>9.0</v>
      </c>
      <c r="AA9" s="829"/>
      <c r="AB9" s="834">
        <v>6.6</v>
      </c>
      <c r="AC9" s="829"/>
      <c r="AD9" s="832">
        <v>9.0</v>
      </c>
      <c r="AE9" s="829"/>
      <c r="AF9" s="830">
        <v>8.25</v>
      </c>
      <c r="AG9" s="829"/>
      <c r="AH9" s="835">
        <v>9.57</v>
      </c>
      <c r="AI9" s="829"/>
      <c r="AJ9" s="830">
        <v>8.44</v>
      </c>
      <c r="AK9" s="829"/>
      <c r="AL9" s="830">
        <v>8.5</v>
      </c>
      <c r="AM9" s="829"/>
      <c r="AN9" s="746">
        <v>8.0</v>
      </c>
      <c r="AO9" s="829"/>
      <c r="AP9" s="830">
        <v>8.17</v>
      </c>
      <c r="AQ9" s="829"/>
      <c r="AR9" s="746">
        <v>7.67</v>
      </c>
      <c r="AS9" s="829"/>
      <c r="AT9" s="830">
        <v>8.14</v>
      </c>
      <c r="AU9" s="780"/>
      <c r="AV9" s="780"/>
    </row>
    <row r="10" ht="45.0" customHeight="1">
      <c r="B10" s="803" t="s">
        <v>199</v>
      </c>
      <c r="C10" s="829"/>
      <c r="D10" s="830">
        <v>8.11</v>
      </c>
      <c r="E10" s="829"/>
      <c r="F10" s="830">
        <v>8.3</v>
      </c>
      <c r="G10" s="831"/>
      <c r="H10" s="746">
        <v>8.0</v>
      </c>
      <c r="I10" s="829"/>
      <c r="J10" s="832">
        <v>8.63</v>
      </c>
      <c r="K10" s="829"/>
      <c r="L10" s="746">
        <v>7.55</v>
      </c>
      <c r="M10" s="829"/>
      <c r="N10" s="832">
        <v>8.71</v>
      </c>
      <c r="O10" s="829"/>
      <c r="P10" s="830">
        <v>8.07</v>
      </c>
      <c r="Q10" s="829"/>
      <c r="R10" s="830">
        <v>8.25</v>
      </c>
      <c r="S10" s="829"/>
      <c r="T10" s="746">
        <v>7.95</v>
      </c>
      <c r="U10" s="829"/>
      <c r="V10" s="830">
        <v>8.3</v>
      </c>
      <c r="W10" s="829"/>
      <c r="X10" s="746">
        <v>7.73</v>
      </c>
      <c r="Y10" s="829"/>
      <c r="Z10" s="830">
        <v>8.45</v>
      </c>
      <c r="AA10" s="829"/>
      <c r="AB10" s="847">
        <v>8.6</v>
      </c>
      <c r="AC10" s="829"/>
      <c r="AD10" s="746">
        <v>8.0</v>
      </c>
      <c r="AE10" s="829"/>
      <c r="AF10" s="833">
        <v>7.0</v>
      </c>
      <c r="AG10" s="829"/>
      <c r="AH10" s="746">
        <v>7.29</v>
      </c>
      <c r="AI10" s="829"/>
      <c r="AJ10" s="833">
        <v>6.6</v>
      </c>
      <c r="AK10" s="829"/>
      <c r="AL10" s="746">
        <v>7.8</v>
      </c>
      <c r="AM10" s="829"/>
      <c r="AN10" s="830">
        <v>8.1</v>
      </c>
      <c r="AO10" s="829"/>
      <c r="AP10" s="746">
        <v>7.83</v>
      </c>
      <c r="AQ10" s="829"/>
      <c r="AR10" s="830">
        <v>8.17</v>
      </c>
      <c r="AS10" s="829"/>
      <c r="AT10" s="746">
        <v>8.0</v>
      </c>
      <c r="AU10" s="780"/>
      <c r="AV10" s="780"/>
    </row>
    <row r="11" ht="45.0" customHeight="1">
      <c r="B11" s="803" t="s">
        <v>200</v>
      </c>
      <c r="C11" s="829"/>
      <c r="D11" s="832">
        <v>8.56</v>
      </c>
      <c r="E11" s="829"/>
      <c r="F11" s="830">
        <v>8.3</v>
      </c>
      <c r="G11" s="831"/>
      <c r="H11" s="746">
        <v>8.0</v>
      </c>
      <c r="I11" s="829"/>
      <c r="J11" s="832">
        <v>8.71</v>
      </c>
      <c r="K11" s="829"/>
      <c r="L11" s="830">
        <v>8.36</v>
      </c>
      <c r="M11" s="829"/>
      <c r="N11" s="830">
        <v>8.43</v>
      </c>
      <c r="O11" s="829"/>
      <c r="P11" s="830">
        <v>8.5</v>
      </c>
      <c r="Q11" s="829"/>
      <c r="R11" s="830">
        <v>8.25</v>
      </c>
      <c r="S11" s="829"/>
      <c r="T11" s="832">
        <v>8.8</v>
      </c>
      <c r="U11" s="829"/>
      <c r="V11" s="830">
        <v>8.2</v>
      </c>
      <c r="W11" s="829"/>
      <c r="X11" s="746">
        <v>8.0</v>
      </c>
      <c r="Y11" s="829"/>
      <c r="Z11" s="832">
        <v>8.7</v>
      </c>
      <c r="AA11" s="829"/>
      <c r="AB11" s="848">
        <v>8.1</v>
      </c>
      <c r="AC11" s="829"/>
      <c r="AD11" s="746">
        <v>7.75</v>
      </c>
      <c r="AE11" s="829"/>
      <c r="AF11" s="746">
        <v>7.75</v>
      </c>
      <c r="AG11" s="829"/>
      <c r="AH11" s="832">
        <v>8.86</v>
      </c>
      <c r="AI11" s="829"/>
      <c r="AJ11" s="833">
        <v>7.2</v>
      </c>
      <c r="AK11" s="829"/>
      <c r="AL11" s="830">
        <v>8.2</v>
      </c>
      <c r="AM11" s="829"/>
      <c r="AN11" s="830">
        <v>8.1</v>
      </c>
      <c r="AO11" s="829"/>
      <c r="AP11" s="830">
        <v>8.33</v>
      </c>
      <c r="AQ11" s="829"/>
      <c r="AR11" s="830">
        <v>8.5</v>
      </c>
      <c r="AS11" s="829"/>
      <c r="AT11" s="830">
        <v>8.13</v>
      </c>
      <c r="AU11" s="780"/>
      <c r="AV11" s="780"/>
    </row>
    <row r="12" ht="45.0" customHeight="1">
      <c r="B12" s="803" t="s">
        <v>201</v>
      </c>
      <c r="C12" s="829"/>
      <c r="D12" s="830">
        <v>8.33</v>
      </c>
      <c r="E12" s="829"/>
      <c r="F12" s="830">
        <v>8.5</v>
      </c>
      <c r="G12" s="831"/>
      <c r="H12" s="830">
        <v>8.5</v>
      </c>
      <c r="I12" s="829"/>
      <c r="J12" s="830">
        <v>8.33</v>
      </c>
      <c r="K12" s="829"/>
      <c r="L12" s="830">
        <v>8.27</v>
      </c>
      <c r="M12" s="829"/>
      <c r="N12" s="835">
        <v>9.14</v>
      </c>
      <c r="O12" s="829"/>
      <c r="P12" s="746">
        <v>8.0</v>
      </c>
      <c r="Q12" s="829"/>
      <c r="R12" s="746">
        <v>7.83</v>
      </c>
      <c r="S12" s="829"/>
      <c r="T12" s="830">
        <v>8.1</v>
      </c>
      <c r="U12" s="829"/>
      <c r="V12" s="830">
        <v>8.33</v>
      </c>
      <c r="W12" s="829"/>
      <c r="X12" s="746">
        <v>7.64</v>
      </c>
      <c r="Y12" s="829"/>
      <c r="Z12" s="832">
        <v>8.55</v>
      </c>
      <c r="AA12" s="829"/>
      <c r="AB12" s="846">
        <v>7.5</v>
      </c>
      <c r="AC12" s="829"/>
      <c r="AD12" s="746">
        <v>7.5</v>
      </c>
      <c r="AE12" s="829"/>
      <c r="AF12" s="836">
        <v>6.5</v>
      </c>
      <c r="AG12" s="829"/>
      <c r="AH12" s="832">
        <v>8.71</v>
      </c>
      <c r="AI12" s="829"/>
      <c r="AJ12" s="746">
        <v>7.78</v>
      </c>
      <c r="AK12" s="829"/>
      <c r="AL12" s="830">
        <v>8.3</v>
      </c>
      <c r="AM12" s="829"/>
      <c r="AN12" s="833">
        <v>6.6</v>
      </c>
      <c r="AO12" s="829"/>
      <c r="AP12" s="746">
        <v>7.8</v>
      </c>
      <c r="AQ12" s="829"/>
      <c r="AR12" s="833">
        <v>7.17</v>
      </c>
      <c r="AS12" s="829"/>
      <c r="AT12" s="746">
        <v>8.0</v>
      </c>
      <c r="AU12" s="780"/>
      <c r="AV12" s="780"/>
    </row>
    <row r="13" ht="45.0" customHeight="1">
      <c r="B13" s="803" t="s">
        <v>234</v>
      </c>
      <c r="C13" s="829"/>
      <c r="D13" s="746">
        <v>7.43</v>
      </c>
      <c r="E13" s="829"/>
      <c r="F13" s="832">
        <v>8.7</v>
      </c>
      <c r="G13" s="831"/>
      <c r="H13" s="836">
        <v>6.0</v>
      </c>
      <c r="I13" s="829"/>
      <c r="J13" s="746">
        <v>7.8</v>
      </c>
      <c r="K13" s="829"/>
      <c r="L13" s="836">
        <v>5.27</v>
      </c>
      <c r="M13" s="829"/>
      <c r="N13" s="830">
        <v>8.43</v>
      </c>
      <c r="O13" s="829"/>
      <c r="P13" s="746">
        <v>7.86</v>
      </c>
      <c r="Q13" s="829"/>
      <c r="R13" s="746">
        <v>7.42</v>
      </c>
      <c r="S13" s="829"/>
      <c r="T13" s="836">
        <v>6.16</v>
      </c>
      <c r="U13" s="829"/>
      <c r="V13" s="836">
        <v>6.4</v>
      </c>
      <c r="W13" s="829"/>
      <c r="X13" s="830">
        <v>8.27</v>
      </c>
      <c r="Y13" s="829"/>
      <c r="Z13" s="746">
        <v>7.67</v>
      </c>
      <c r="AA13" s="829"/>
      <c r="AB13" s="837">
        <v>6.3</v>
      </c>
      <c r="AC13" s="829"/>
      <c r="AD13" s="830">
        <v>8.25</v>
      </c>
      <c r="AE13" s="829"/>
      <c r="AF13" s="835">
        <v>9.25</v>
      </c>
      <c r="AG13" s="829"/>
      <c r="AH13" s="832">
        <v>8.57</v>
      </c>
      <c r="AI13" s="829"/>
      <c r="AJ13" s="746">
        <v>7.44</v>
      </c>
      <c r="AK13" s="829"/>
      <c r="AL13" s="746">
        <v>7.5</v>
      </c>
      <c r="AM13" s="829"/>
      <c r="AN13" s="746">
        <v>8.0</v>
      </c>
      <c r="AO13" s="829"/>
      <c r="AP13" s="746">
        <v>7.83</v>
      </c>
      <c r="AQ13" s="829"/>
      <c r="AR13" s="835">
        <v>9.33</v>
      </c>
      <c r="AS13" s="829"/>
      <c r="AT13" s="746">
        <v>8.0</v>
      </c>
      <c r="AU13" s="780"/>
      <c r="AV13" s="780"/>
    </row>
    <row r="14" ht="45.0" customHeight="1">
      <c r="B14" s="803" t="s">
        <v>235</v>
      </c>
      <c r="C14" s="829"/>
      <c r="D14" s="832">
        <v>8.67</v>
      </c>
      <c r="E14" s="829"/>
      <c r="F14" s="832">
        <v>8.6</v>
      </c>
      <c r="G14" s="831"/>
      <c r="H14" s="746">
        <v>8.0</v>
      </c>
      <c r="I14" s="829"/>
      <c r="J14" s="832">
        <v>8.75</v>
      </c>
      <c r="K14" s="829"/>
      <c r="L14" s="830">
        <v>8.27</v>
      </c>
      <c r="M14" s="829"/>
      <c r="N14" s="832">
        <v>8.86</v>
      </c>
      <c r="O14" s="829"/>
      <c r="P14" s="832">
        <v>8.64</v>
      </c>
      <c r="Q14" s="829"/>
      <c r="R14" s="830">
        <v>8.42</v>
      </c>
      <c r="S14" s="829"/>
      <c r="T14" s="832">
        <v>8.85</v>
      </c>
      <c r="U14" s="829"/>
      <c r="V14" s="830">
        <v>8.1</v>
      </c>
      <c r="W14" s="829"/>
      <c r="X14" s="746">
        <v>7.64</v>
      </c>
      <c r="Y14" s="829"/>
      <c r="Z14" s="832">
        <v>8.8</v>
      </c>
      <c r="AA14" s="829"/>
      <c r="AB14" s="834">
        <v>7.2</v>
      </c>
      <c r="AC14" s="829"/>
      <c r="AD14" s="830">
        <v>8.25</v>
      </c>
      <c r="AE14" s="829"/>
      <c r="AF14" s="832">
        <v>8.75</v>
      </c>
      <c r="AG14" s="829"/>
      <c r="AH14" s="832">
        <v>8.86</v>
      </c>
      <c r="AI14" s="829"/>
      <c r="AJ14" s="833">
        <v>6.7</v>
      </c>
      <c r="AK14" s="829"/>
      <c r="AL14" s="746">
        <v>7.5</v>
      </c>
      <c r="AM14" s="829"/>
      <c r="AN14" s="746">
        <v>7.6</v>
      </c>
      <c r="AO14" s="829"/>
      <c r="AP14" s="746">
        <v>7.33</v>
      </c>
      <c r="AQ14" s="829"/>
      <c r="AR14" s="746">
        <v>7.83</v>
      </c>
      <c r="AS14" s="829"/>
      <c r="AT14" s="746">
        <v>7.63</v>
      </c>
      <c r="AU14" s="780"/>
      <c r="AV14" s="780"/>
    </row>
    <row r="15" ht="45.0" customHeight="1">
      <c r="B15" s="803" t="s">
        <v>281</v>
      </c>
      <c r="C15" s="838"/>
      <c r="D15" s="832">
        <v>8.78</v>
      </c>
      <c r="E15" s="838"/>
      <c r="F15" s="830">
        <v>8.3</v>
      </c>
      <c r="G15" s="849"/>
      <c r="H15" s="833">
        <v>7.0</v>
      </c>
      <c r="I15" s="838"/>
      <c r="J15" s="830">
        <v>8.17</v>
      </c>
      <c r="K15" s="838"/>
      <c r="L15" s="832">
        <v>8.55</v>
      </c>
      <c r="M15" s="838"/>
      <c r="N15" s="835">
        <v>9.14</v>
      </c>
      <c r="O15" s="838"/>
      <c r="P15" s="746">
        <v>7.79</v>
      </c>
      <c r="Q15" s="838"/>
      <c r="R15" s="746">
        <v>7.73</v>
      </c>
      <c r="S15" s="838"/>
      <c r="T15" s="746">
        <v>7.87</v>
      </c>
      <c r="U15" s="838"/>
      <c r="V15" s="833">
        <v>6.67</v>
      </c>
      <c r="W15" s="838"/>
      <c r="X15" s="833">
        <v>6.82</v>
      </c>
      <c r="Y15" s="838"/>
      <c r="Z15" s="830">
        <v>8.13</v>
      </c>
      <c r="AA15" s="838"/>
      <c r="AB15" s="837">
        <v>6.5</v>
      </c>
      <c r="AC15" s="838"/>
      <c r="AD15" s="830">
        <v>8.25</v>
      </c>
      <c r="AE15" s="838"/>
      <c r="AF15" s="833">
        <v>7.0</v>
      </c>
      <c r="AG15" s="838"/>
      <c r="AH15" s="833">
        <v>7.14</v>
      </c>
      <c r="AI15" s="838"/>
      <c r="AJ15" s="833">
        <v>6.9</v>
      </c>
      <c r="AK15" s="838"/>
      <c r="AL15" s="833">
        <v>6.8</v>
      </c>
      <c r="AM15" s="838"/>
      <c r="AN15" s="833">
        <v>7.0</v>
      </c>
      <c r="AO15" s="838"/>
      <c r="AP15" s="746">
        <v>7.6</v>
      </c>
      <c r="AQ15" s="838"/>
      <c r="AR15" s="830">
        <v>8.5</v>
      </c>
      <c r="AS15" s="838"/>
      <c r="AT15" s="746">
        <v>7.43</v>
      </c>
      <c r="AU15" s="780"/>
      <c r="AV15" s="780"/>
    </row>
    <row r="16" ht="45.0" customHeight="1">
      <c r="A16" s="850" t="s">
        <v>42</v>
      </c>
      <c r="B16" s="805" t="s">
        <v>236</v>
      </c>
      <c r="C16" s="842">
        <v>8.8</v>
      </c>
      <c r="D16" s="835">
        <v>9.22</v>
      </c>
      <c r="E16" s="842">
        <v>8.52</v>
      </c>
      <c r="F16" s="835">
        <v>9.1</v>
      </c>
      <c r="G16" s="851">
        <v>8.2</v>
      </c>
      <c r="H16" s="830">
        <v>8.5</v>
      </c>
      <c r="I16" s="841">
        <v>8.45</v>
      </c>
      <c r="J16" s="832">
        <v>8.86</v>
      </c>
      <c r="K16" s="841">
        <v>8.29</v>
      </c>
      <c r="L16" s="830">
        <v>8.45</v>
      </c>
      <c r="M16" s="842">
        <v>8.8</v>
      </c>
      <c r="N16" s="832">
        <v>8.83</v>
      </c>
      <c r="O16" s="841">
        <v>8.4</v>
      </c>
      <c r="P16" s="830">
        <v>8.5</v>
      </c>
      <c r="Q16" s="841">
        <v>8.34</v>
      </c>
      <c r="R16" s="830">
        <v>8.5</v>
      </c>
      <c r="S16" s="842">
        <v>8.51</v>
      </c>
      <c r="T16" s="832">
        <v>8.55</v>
      </c>
      <c r="U16" s="844">
        <v>7.46</v>
      </c>
      <c r="V16" s="833">
        <v>6.8</v>
      </c>
      <c r="W16" s="845">
        <v>6.82</v>
      </c>
      <c r="X16" s="836">
        <v>6.27</v>
      </c>
      <c r="Y16" s="841">
        <v>8.34</v>
      </c>
      <c r="Z16" s="832">
        <v>8.8</v>
      </c>
      <c r="AA16" s="845">
        <v>7.0</v>
      </c>
      <c r="AB16" s="837">
        <v>6.1</v>
      </c>
      <c r="AC16" s="844">
        <v>7.45</v>
      </c>
      <c r="AD16" s="746">
        <v>7.75</v>
      </c>
      <c r="AE16" s="844">
        <v>7.75</v>
      </c>
      <c r="AF16" s="746">
        <v>8.0</v>
      </c>
      <c r="AG16" s="844">
        <v>7.91</v>
      </c>
      <c r="AH16" s="830">
        <v>8.14</v>
      </c>
      <c r="AI16" s="844">
        <v>7.69</v>
      </c>
      <c r="AJ16" s="833">
        <v>7.0</v>
      </c>
      <c r="AK16" s="845">
        <v>7.1</v>
      </c>
      <c r="AL16" s="833">
        <v>6.7</v>
      </c>
      <c r="AM16" s="845">
        <v>7.12</v>
      </c>
      <c r="AN16" s="833">
        <v>7.1</v>
      </c>
      <c r="AO16" s="844">
        <v>7.73</v>
      </c>
      <c r="AP16" s="746">
        <v>7.83</v>
      </c>
      <c r="AQ16" s="841">
        <v>8.03</v>
      </c>
      <c r="AR16" s="746">
        <v>8.0</v>
      </c>
      <c r="AS16" s="844">
        <v>7.61</v>
      </c>
      <c r="AT16" s="746">
        <v>7.57</v>
      </c>
      <c r="AU16" s="780"/>
      <c r="AV16" s="780"/>
    </row>
    <row r="17" ht="45.0" customHeight="1">
      <c r="B17" s="805" t="s">
        <v>203</v>
      </c>
      <c r="C17" s="829"/>
      <c r="D17" s="832">
        <v>8.67</v>
      </c>
      <c r="E17" s="829"/>
      <c r="F17" s="830">
        <v>8.3</v>
      </c>
      <c r="G17" s="831"/>
      <c r="H17" s="746">
        <v>8.0</v>
      </c>
      <c r="I17" s="829"/>
      <c r="J17" s="830">
        <v>8.13</v>
      </c>
      <c r="K17" s="829"/>
      <c r="L17" s="830">
        <v>8.27</v>
      </c>
      <c r="M17" s="829"/>
      <c r="N17" s="832">
        <v>8.86</v>
      </c>
      <c r="O17" s="829"/>
      <c r="P17" s="830">
        <v>8.21</v>
      </c>
      <c r="Q17" s="829"/>
      <c r="R17" s="830">
        <v>8.27</v>
      </c>
      <c r="S17" s="829"/>
      <c r="T17" s="832">
        <v>8.55</v>
      </c>
      <c r="U17" s="829"/>
      <c r="V17" s="833">
        <v>7.0</v>
      </c>
      <c r="W17" s="829"/>
      <c r="X17" s="836">
        <v>6.36</v>
      </c>
      <c r="Y17" s="829"/>
      <c r="Z17" s="832">
        <v>8.8</v>
      </c>
      <c r="AA17" s="829"/>
      <c r="AB17" s="834">
        <v>7.0</v>
      </c>
      <c r="AC17" s="829"/>
      <c r="AD17" s="746">
        <v>7.75</v>
      </c>
      <c r="AE17" s="829"/>
      <c r="AF17" s="746">
        <v>7.75</v>
      </c>
      <c r="AG17" s="829"/>
      <c r="AH17" s="746">
        <v>7.29</v>
      </c>
      <c r="AI17" s="829"/>
      <c r="AJ17" s="746">
        <v>7.56</v>
      </c>
      <c r="AK17" s="829"/>
      <c r="AL17" s="833">
        <v>6.9</v>
      </c>
      <c r="AM17" s="829"/>
      <c r="AN17" s="833">
        <v>7.0</v>
      </c>
      <c r="AO17" s="829"/>
      <c r="AP17" s="746">
        <v>7.83</v>
      </c>
      <c r="AQ17" s="829"/>
      <c r="AR17" s="746">
        <v>7.83</v>
      </c>
      <c r="AS17" s="829"/>
      <c r="AT17" s="746">
        <v>7.29</v>
      </c>
      <c r="AU17" s="780"/>
      <c r="AV17" s="780"/>
    </row>
    <row r="18" ht="45.0" customHeight="1">
      <c r="B18" s="805" t="s">
        <v>204</v>
      </c>
      <c r="C18" s="829"/>
      <c r="D18" s="832">
        <v>8.56</v>
      </c>
      <c r="E18" s="829"/>
      <c r="F18" s="746">
        <v>7.4</v>
      </c>
      <c r="G18" s="831"/>
      <c r="H18" s="830">
        <v>8.5</v>
      </c>
      <c r="I18" s="829"/>
      <c r="J18" s="830">
        <v>8.5</v>
      </c>
      <c r="K18" s="829"/>
      <c r="L18" s="746">
        <v>7.91</v>
      </c>
      <c r="M18" s="829"/>
      <c r="N18" s="832">
        <v>8.71</v>
      </c>
      <c r="O18" s="829"/>
      <c r="P18" s="830">
        <v>8.14</v>
      </c>
      <c r="Q18" s="829"/>
      <c r="R18" s="746">
        <v>7.42</v>
      </c>
      <c r="S18" s="829"/>
      <c r="T18" s="832">
        <v>8.55</v>
      </c>
      <c r="U18" s="829"/>
      <c r="V18" s="832">
        <v>8.8</v>
      </c>
      <c r="W18" s="829"/>
      <c r="X18" s="746">
        <v>7.82</v>
      </c>
      <c r="Y18" s="829"/>
      <c r="Z18" s="836">
        <v>6.5</v>
      </c>
      <c r="AA18" s="829"/>
      <c r="AB18" s="848">
        <v>8.2</v>
      </c>
      <c r="AC18" s="829"/>
      <c r="AD18" s="830">
        <v>8.25</v>
      </c>
      <c r="AE18" s="829"/>
      <c r="AF18" s="746">
        <v>8.0</v>
      </c>
      <c r="AG18" s="829"/>
      <c r="AH18" s="832">
        <v>8.71</v>
      </c>
      <c r="AI18" s="829"/>
      <c r="AJ18" s="746">
        <v>8.0</v>
      </c>
      <c r="AK18" s="829"/>
      <c r="AL18" s="832">
        <v>8.7</v>
      </c>
      <c r="AM18" s="829"/>
      <c r="AN18" s="746">
        <v>7.6</v>
      </c>
      <c r="AO18" s="829"/>
      <c r="AP18" s="830">
        <v>8.5</v>
      </c>
      <c r="AQ18" s="829"/>
      <c r="AR18" s="832">
        <v>8.83</v>
      </c>
      <c r="AS18" s="829"/>
      <c r="AT18" s="746">
        <v>8.0</v>
      </c>
      <c r="AU18" s="780"/>
      <c r="AV18" s="780"/>
    </row>
    <row r="19" ht="45.0" customHeight="1">
      <c r="B19" s="805" t="s">
        <v>205</v>
      </c>
      <c r="C19" s="829"/>
      <c r="D19" s="832">
        <v>8.89</v>
      </c>
      <c r="E19" s="829"/>
      <c r="F19" s="832">
        <v>8.9</v>
      </c>
      <c r="G19" s="831"/>
      <c r="H19" s="746">
        <v>8.0</v>
      </c>
      <c r="I19" s="829"/>
      <c r="J19" s="830">
        <v>8.14</v>
      </c>
      <c r="K19" s="829"/>
      <c r="L19" s="830">
        <v>8.27</v>
      </c>
      <c r="M19" s="829"/>
      <c r="N19" s="832">
        <v>8.71</v>
      </c>
      <c r="O19" s="829"/>
      <c r="P19" s="832">
        <v>8.57</v>
      </c>
      <c r="Q19" s="829"/>
      <c r="R19" s="832">
        <v>9.0</v>
      </c>
      <c r="S19" s="829"/>
      <c r="T19" s="832">
        <v>8.55</v>
      </c>
      <c r="U19" s="829"/>
      <c r="V19" s="833">
        <v>6.8</v>
      </c>
      <c r="W19" s="829"/>
      <c r="X19" s="833">
        <v>6.55</v>
      </c>
      <c r="Y19" s="829"/>
      <c r="Z19" s="832">
        <v>8.85</v>
      </c>
      <c r="AA19" s="829"/>
      <c r="AB19" s="834">
        <v>7.2</v>
      </c>
      <c r="AC19" s="829"/>
      <c r="AD19" s="836">
        <v>6.25</v>
      </c>
      <c r="AE19" s="829"/>
      <c r="AF19" s="833">
        <v>7.0</v>
      </c>
      <c r="AG19" s="829"/>
      <c r="AH19" s="833">
        <v>6.57</v>
      </c>
      <c r="AI19" s="829"/>
      <c r="AJ19" s="746">
        <v>7.8</v>
      </c>
      <c r="AK19" s="829"/>
      <c r="AL19" s="836">
        <v>6.2</v>
      </c>
      <c r="AM19" s="829"/>
      <c r="AN19" s="833">
        <v>6.9</v>
      </c>
      <c r="AO19" s="829"/>
      <c r="AP19" s="833">
        <v>7.0</v>
      </c>
      <c r="AQ19" s="829"/>
      <c r="AR19" s="746">
        <v>7.67</v>
      </c>
      <c r="AS19" s="829"/>
      <c r="AT19" s="746">
        <v>7.43</v>
      </c>
      <c r="AU19" s="780"/>
      <c r="AV19" s="780"/>
    </row>
    <row r="20" ht="45.0" customHeight="1">
      <c r="B20" s="805" t="s">
        <v>206</v>
      </c>
      <c r="C20" s="838"/>
      <c r="D20" s="832">
        <v>8.67</v>
      </c>
      <c r="E20" s="838"/>
      <c r="F20" s="832">
        <v>8.9</v>
      </c>
      <c r="G20" s="849"/>
      <c r="H20" s="746">
        <v>8.0</v>
      </c>
      <c r="I20" s="838"/>
      <c r="J20" s="832">
        <v>8.63</v>
      </c>
      <c r="K20" s="838"/>
      <c r="L20" s="832">
        <v>8.55</v>
      </c>
      <c r="M20" s="838"/>
      <c r="N20" s="832">
        <v>8.86</v>
      </c>
      <c r="O20" s="838"/>
      <c r="P20" s="832">
        <v>8.57</v>
      </c>
      <c r="Q20" s="838"/>
      <c r="R20" s="830">
        <v>8.5</v>
      </c>
      <c r="S20" s="838"/>
      <c r="T20" s="830">
        <v>8.35</v>
      </c>
      <c r="U20" s="838"/>
      <c r="V20" s="746">
        <v>7.89</v>
      </c>
      <c r="W20" s="838"/>
      <c r="X20" s="833">
        <v>7.09</v>
      </c>
      <c r="Y20" s="838"/>
      <c r="Z20" s="832">
        <v>8.75</v>
      </c>
      <c r="AA20" s="838"/>
      <c r="AB20" s="837">
        <v>6.5</v>
      </c>
      <c r="AC20" s="838"/>
      <c r="AD20" s="746">
        <v>7.25</v>
      </c>
      <c r="AE20" s="838"/>
      <c r="AF20" s="746">
        <v>8.0</v>
      </c>
      <c r="AG20" s="838"/>
      <c r="AH20" s="832">
        <v>8.86</v>
      </c>
      <c r="AI20" s="838"/>
      <c r="AJ20" s="830">
        <v>8.1</v>
      </c>
      <c r="AK20" s="838"/>
      <c r="AL20" s="833">
        <v>7.0</v>
      </c>
      <c r="AM20" s="838"/>
      <c r="AN20" s="833">
        <v>7.0</v>
      </c>
      <c r="AO20" s="838"/>
      <c r="AP20" s="746">
        <v>7.5</v>
      </c>
      <c r="AQ20" s="838"/>
      <c r="AR20" s="746">
        <v>7.83</v>
      </c>
      <c r="AS20" s="838"/>
      <c r="AT20" s="746">
        <v>7.75</v>
      </c>
      <c r="AU20" s="780"/>
      <c r="AV20" s="780"/>
    </row>
    <row r="21" ht="45.0" customHeight="1">
      <c r="A21" s="852" t="s">
        <v>49</v>
      </c>
      <c r="B21" s="808" t="s">
        <v>207</v>
      </c>
      <c r="C21" s="842">
        <v>8.81</v>
      </c>
      <c r="D21" s="832">
        <v>9.0</v>
      </c>
      <c r="E21" s="842">
        <v>8.8</v>
      </c>
      <c r="F21" s="832">
        <v>9.0</v>
      </c>
      <c r="G21" s="851">
        <v>8.38</v>
      </c>
      <c r="H21" s="832">
        <v>9.0</v>
      </c>
      <c r="I21" s="842">
        <v>8.7</v>
      </c>
      <c r="J21" s="832">
        <v>8.57</v>
      </c>
      <c r="K21" s="841">
        <v>8.18</v>
      </c>
      <c r="L21" s="830">
        <v>8.18</v>
      </c>
      <c r="M21" s="842">
        <v>9.0</v>
      </c>
      <c r="N21" s="832">
        <v>9.0</v>
      </c>
      <c r="O21" s="841">
        <v>8.16</v>
      </c>
      <c r="P21" s="832">
        <v>8.64</v>
      </c>
      <c r="Q21" s="844">
        <v>7.9</v>
      </c>
      <c r="R21" s="746">
        <v>7.83</v>
      </c>
      <c r="S21" s="853">
        <v>9.09</v>
      </c>
      <c r="T21" s="835">
        <v>9.1</v>
      </c>
      <c r="U21" s="844">
        <v>7.88</v>
      </c>
      <c r="V21" s="746">
        <v>7.8</v>
      </c>
      <c r="W21" s="845">
        <v>7.02</v>
      </c>
      <c r="X21" s="833">
        <v>6.64</v>
      </c>
      <c r="Y21" s="842">
        <v>8.83</v>
      </c>
      <c r="Z21" s="835">
        <v>9.05</v>
      </c>
      <c r="AA21" s="841">
        <v>8.03</v>
      </c>
      <c r="AB21" s="846">
        <v>8.0</v>
      </c>
      <c r="AC21" s="842">
        <v>8.63</v>
      </c>
      <c r="AD21" s="830">
        <v>8.5</v>
      </c>
      <c r="AE21" s="842">
        <v>8.94</v>
      </c>
      <c r="AF21" s="832">
        <v>9.0</v>
      </c>
      <c r="AG21" s="842">
        <v>8.54</v>
      </c>
      <c r="AH21" s="830">
        <v>8.14</v>
      </c>
      <c r="AI21" s="842">
        <v>8.6</v>
      </c>
      <c r="AJ21" s="832">
        <v>8.9</v>
      </c>
      <c r="AK21" s="844">
        <v>8.0</v>
      </c>
      <c r="AL21" s="746">
        <v>8.0</v>
      </c>
      <c r="AM21" s="844">
        <v>7.65</v>
      </c>
      <c r="AN21" s="746">
        <v>7.7</v>
      </c>
      <c r="AO21" s="841">
        <v>8.17</v>
      </c>
      <c r="AP21" s="830">
        <v>8.17</v>
      </c>
      <c r="AQ21" s="841">
        <v>8.25</v>
      </c>
      <c r="AR21" s="830">
        <v>8.17</v>
      </c>
      <c r="AS21" s="841">
        <v>8.25</v>
      </c>
      <c r="AT21" s="746">
        <v>8.0</v>
      </c>
      <c r="AU21" s="780"/>
      <c r="AV21" s="780"/>
    </row>
    <row r="22" ht="45.0" customHeight="1">
      <c r="B22" s="808" t="s">
        <v>208</v>
      </c>
      <c r="C22" s="829"/>
      <c r="D22" s="832">
        <v>8.78</v>
      </c>
      <c r="E22" s="829"/>
      <c r="F22" s="746">
        <v>7.7</v>
      </c>
      <c r="G22" s="831"/>
      <c r="H22" s="830">
        <v>8.5</v>
      </c>
      <c r="I22" s="829"/>
      <c r="J22" s="832">
        <v>8.67</v>
      </c>
      <c r="K22" s="829"/>
      <c r="L22" s="830">
        <v>8.45</v>
      </c>
      <c r="M22" s="829"/>
      <c r="N22" s="832">
        <v>9.0</v>
      </c>
      <c r="O22" s="829"/>
      <c r="P22" s="833">
        <v>7.14</v>
      </c>
      <c r="Q22" s="829"/>
      <c r="R22" s="830">
        <v>8.08</v>
      </c>
      <c r="S22" s="829"/>
      <c r="T22" s="832">
        <v>8.9</v>
      </c>
      <c r="U22" s="829"/>
      <c r="V22" s="832">
        <v>8.7</v>
      </c>
      <c r="W22" s="829"/>
      <c r="X22" s="830">
        <v>8.18</v>
      </c>
      <c r="Y22" s="829"/>
      <c r="Z22" s="746">
        <v>7.65</v>
      </c>
      <c r="AA22" s="829"/>
      <c r="AB22" s="848">
        <v>8.3</v>
      </c>
      <c r="AC22" s="829"/>
      <c r="AD22" s="832">
        <v>9.0</v>
      </c>
      <c r="AE22" s="829"/>
      <c r="AF22" s="832">
        <v>9.0</v>
      </c>
      <c r="AG22" s="829"/>
      <c r="AH22" s="832">
        <v>8.86</v>
      </c>
      <c r="AI22" s="829"/>
      <c r="AJ22" s="746">
        <v>7.4</v>
      </c>
      <c r="AK22" s="829"/>
      <c r="AL22" s="832">
        <v>8.6</v>
      </c>
      <c r="AM22" s="829"/>
      <c r="AN22" s="746">
        <v>7.6</v>
      </c>
      <c r="AO22" s="829"/>
      <c r="AP22" s="832">
        <v>8.67</v>
      </c>
      <c r="AQ22" s="829"/>
      <c r="AR22" s="830">
        <v>8.5</v>
      </c>
      <c r="AS22" s="829"/>
      <c r="AT22" s="832">
        <v>8.57</v>
      </c>
      <c r="AU22" s="780"/>
      <c r="AV22" s="780"/>
    </row>
    <row r="23" ht="45.0" customHeight="1">
      <c r="B23" s="808" t="s">
        <v>237</v>
      </c>
      <c r="C23" s="829"/>
      <c r="D23" s="832">
        <v>8.67</v>
      </c>
      <c r="E23" s="829"/>
      <c r="F23" s="835">
        <v>9.2</v>
      </c>
      <c r="G23" s="831"/>
      <c r="H23" s="830">
        <v>8.5</v>
      </c>
      <c r="I23" s="829"/>
      <c r="J23" s="832">
        <v>8.71</v>
      </c>
      <c r="K23" s="829"/>
      <c r="L23" s="830">
        <v>8.18</v>
      </c>
      <c r="M23" s="829"/>
      <c r="N23" s="832">
        <v>9.0</v>
      </c>
      <c r="O23" s="829"/>
      <c r="P23" s="830">
        <v>8.29</v>
      </c>
      <c r="Q23" s="829"/>
      <c r="R23" s="746">
        <v>7.92</v>
      </c>
      <c r="S23" s="829"/>
      <c r="T23" s="832">
        <v>9.0</v>
      </c>
      <c r="U23" s="829"/>
      <c r="V23" s="746">
        <v>8.0</v>
      </c>
      <c r="W23" s="829"/>
      <c r="X23" s="746">
        <v>7.27</v>
      </c>
      <c r="Y23" s="829"/>
      <c r="Z23" s="835">
        <v>9.1</v>
      </c>
      <c r="AA23" s="829"/>
      <c r="AB23" s="848">
        <v>8.1</v>
      </c>
      <c r="AC23" s="829"/>
      <c r="AD23" s="830">
        <v>8.25</v>
      </c>
      <c r="AE23" s="829"/>
      <c r="AF23" s="832">
        <v>9.0</v>
      </c>
      <c r="AG23" s="829"/>
      <c r="AH23" s="830">
        <v>8.43</v>
      </c>
      <c r="AI23" s="829"/>
      <c r="AJ23" s="832">
        <v>8.9</v>
      </c>
      <c r="AK23" s="829"/>
      <c r="AL23" s="746">
        <v>7.6</v>
      </c>
      <c r="AM23" s="829"/>
      <c r="AN23" s="746">
        <v>7.7</v>
      </c>
      <c r="AO23" s="829"/>
      <c r="AP23" s="746">
        <v>8.0</v>
      </c>
      <c r="AQ23" s="829"/>
      <c r="AR23" s="830">
        <v>8.5</v>
      </c>
      <c r="AS23" s="829"/>
      <c r="AT23" s="830">
        <v>8.14</v>
      </c>
      <c r="AU23" s="780"/>
      <c r="AV23" s="780"/>
    </row>
    <row r="24" ht="45.0" customHeight="1">
      <c r="B24" s="808" t="s">
        <v>238</v>
      </c>
      <c r="C24" s="838"/>
      <c r="D24" s="832">
        <v>8.78</v>
      </c>
      <c r="E24" s="838"/>
      <c r="F24" s="835">
        <v>9.3</v>
      </c>
      <c r="G24" s="854"/>
      <c r="H24" s="746">
        <v>7.5</v>
      </c>
      <c r="I24" s="838"/>
      <c r="J24" s="832">
        <v>8.86</v>
      </c>
      <c r="K24" s="838"/>
      <c r="L24" s="746">
        <v>7.91</v>
      </c>
      <c r="M24" s="838"/>
      <c r="N24" s="832">
        <v>9.0</v>
      </c>
      <c r="O24" s="838"/>
      <c r="P24" s="832">
        <v>8.57</v>
      </c>
      <c r="Q24" s="838"/>
      <c r="R24" s="746">
        <v>7.75</v>
      </c>
      <c r="S24" s="838"/>
      <c r="T24" s="835">
        <v>9.35</v>
      </c>
      <c r="U24" s="838"/>
      <c r="V24" s="833">
        <v>7.0</v>
      </c>
      <c r="W24" s="838"/>
      <c r="X24" s="836">
        <v>6.0</v>
      </c>
      <c r="Y24" s="838"/>
      <c r="Z24" s="835">
        <v>9.5</v>
      </c>
      <c r="AA24" s="838"/>
      <c r="AB24" s="846">
        <v>7.7</v>
      </c>
      <c r="AC24" s="838"/>
      <c r="AD24" s="832">
        <v>8.75</v>
      </c>
      <c r="AE24" s="838"/>
      <c r="AF24" s="832">
        <v>8.75</v>
      </c>
      <c r="AG24" s="838"/>
      <c r="AH24" s="832">
        <v>8.71</v>
      </c>
      <c r="AI24" s="838"/>
      <c r="AJ24" s="835">
        <v>9.2</v>
      </c>
      <c r="AK24" s="838"/>
      <c r="AL24" s="746">
        <v>7.8</v>
      </c>
      <c r="AM24" s="838"/>
      <c r="AN24" s="746">
        <v>7.6</v>
      </c>
      <c r="AO24" s="838"/>
      <c r="AP24" s="746">
        <v>7.83</v>
      </c>
      <c r="AQ24" s="838"/>
      <c r="AR24" s="746">
        <v>7.83</v>
      </c>
      <c r="AS24" s="838"/>
      <c r="AT24" s="830">
        <v>8.29</v>
      </c>
      <c r="AU24" s="780"/>
      <c r="AV24" s="780"/>
    </row>
    <row r="25" ht="45.0" customHeight="1">
      <c r="A25" s="855" t="s">
        <v>54</v>
      </c>
      <c r="B25" s="809" t="s">
        <v>239</v>
      </c>
      <c r="C25" s="841">
        <v>8.47</v>
      </c>
      <c r="D25" s="830">
        <v>8.11</v>
      </c>
      <c r="E25" s="841">
        <v>8.3</v>
      </c>
      <c r="F25" s="746">
        <v>7.9</v>
      </c>
      <c r="G25" s="844">
        <v>8.0</v>
      </c>
      <c r="H25" s="746">
        <v>7.5</v>
      </c>
      <c r="I25" s="841">
        <v>8.32</v>
      </c>
      <c r="J25" s="830">
        <v>8.13</v>
      </c>
      <c r="K25" s="844">
        <v>7.98</v>
      </c>
      <c r="L25" s="746">
        <v>7.82</v>
      </c>
      <c r="M25" s="842">
        <v>8.86</v>
      </c>
      <c r="N25" s="832">
        <v>9.0</v>
      </c>
      <c r="O25" s="841">
        <v>8.24</v>
      </c>
      <c r="P25" s="746">
        <v>7.79</v>
      </c>
      <c r="Q25" s="841">
        <v>8.26</v>
      </c>
      <c r="R25" s="830">
        <v>8.17</v>
      </c>
      <c r="S25" s="841">
        <v>8.49</v>
      </c>
      <c r="T25" s="830">
        <v>8.37</v>
      </c>
      <c r="U25" s="844">
        <v>7.68</v>
      </c>
      <c r="V25" s="746">
        <v>7.5</v>
      </c>
      <c r="W25" s="844">
        <v>7.36</v>
      </c>
      <c r="X25" s="746">
        <v>7.55</v>
      </c>
      <c r="Y25" s="841">
        <v>8.04</v>
      </c>
      <c r="Z25" s="746">
        <v>8.0</v>
      </c>
      <c r="AA25" s="844">
        <v>7.78</v>
      </c>
      <c r="AB25" s="846">
        <v>7.5</v>
      </c>
      <c r="AC25" s="841">
        <v>8.06</v>
      </c>
      <c r="AD25" s="830">
        <v>8.25</v>
      </c>
      <c r="AE25" s="841">
        <v>8.25</v>
      </c>
      <c r="AF25" s="746">
        <v>8.0</v>
      </c>
      <c r="AG25" s="841">
        <v>8.18</v>
      </c>
      <c r="AH25" s="746">
        <v>7.86</v>
      </c>
      <c r="AI25" s="844">
        <v>7.56</v>
      </c>
      <c r="AJ25" s="833">
        <v>7.1</v>
      </c>
      <c r="AK25" s="844">
        <v>7.88</v>
      </c>
      <c r="AL25" s="746">
        <v>7.5</v>
      </c>
      <c r="AM25" s="844">
        <v>7.88</v>
      </c>
      <c r="AN25" s="746">
        <v>7.3</v>
      </c>
      <c r="AO25" s="844">
        <v>7.92</v>
      </c>
      <c r="AP25" s="746">
        <v>8.0</v>
      </c>
      <c r="AQ25" s="841">
        <v>8.29</v>
      </c>
      <c r="AR25" s="830">
        <v>8.5</v>
      </c>
      <c r="AS25" s="844">
        <v>7.86</v>
      </c>
      <c r="AT25" s="746">
        <v>8.0</v>
      </c>
      <c r="AU25" s="780"/>
      <c r="AV25" s="780"/>
    </row>
    <row r="26" ht="45.0" customHeight="1">
      <c r="B26" s="809" t="s">
        <v>240</v>
      </c>
      <c r="C26" s="829"/>
      <c r="D26" s="830">
        <v>8.11</v>
      </c>
      <c r="E26" s="829"/>
      <c r="F26" s="832">
        <v>9.0</v>
      </c>
      <c r="G26" s="829"/>
      <c r="H26" s="746">
        <v>8.0</v>
      </c>
      <c r="I26" s="829"/>
      <c r="J26" s="830">
        <v>8.38</v>
      </c>
      <c r="K26" s="829"/>
      <c r="L26" s="746">
        <v>7.91</v>
      </c>
      <c r="M26" s="829"/>
      <c r="N26" s="835">
        <v>9.14</v>
      </c>
      <c r="O26" s="829"/>
      <c r="P26" s="830">
        <v>8.36</v>
      </c>
      <c r="Q26" s="829"/>
      <c r="R26" s="832">
        <v>8.58</v>
      </c>
      <c r="S26" s="829"/>
      <c r="T26" s="830">
        <v>8.32</v>
      </c>
      <c r="U26" s="829"/>
      <c r="V26" s="833">
        <v>6.9</v>
      </c>
      <c r="W26" s="829"/>
      <c r="X26" s="833">
        <v>6.82</v>
      </c>
      <c r="Y26" s="829"/>
      <c r="Z26" s="830">
        <v>8.16</v>
      </c>
      <c r="AA26" s="829"/>
      <c r="AB26" s="848">
        <v>8.3</v>
      </c>
      <c r="AC26" s="829"/>
      <c r="AD26" s="833">
        <v>7.0</v>
      </c>
      <c r="AE26" s="829"/>
      <c r="AF26" s="746">
        <v>8.0</v>
      </c>
      <c r="AG26" s="829"/>
      <c r="AH26" s="746">
        <v>7.71</v>
      </c>
      <c r="AI26" s="829"/>
      <c r="AJ26" s="746">
        <v>7.7</v>
      </c>
      <c r="AK26" s="829"/>
      <c r="AL26" s="746">
        <v>7.5</v>
      </c>
      <c r="AM26" s="829"/>
      <c r="AN26" s="830">
        <v>8.3</v>
      </c>
      <c r="AO26" s="829"/>
      <c r="AP26" s="833">
        <v>7.0</v>
      </c>
      <c r="AQ26" s="829"/>
      <c r="AR26" s="746">
        <v>8.0</v>
      </c>
      <c r="AS26" s="829"/>
      <c r="AT26" s="746">
        <v>7.57</v>
      </c>
      <c r="AU26" s="780"/>
      <c r="AV26" s="780"/>
    </row>
    <row r="27" ht="45.0" customHeight="1">
      <c r="B27" s="809" t="s">
        <v>241</v>
      </c>
      <c r="C27" s="829"/>
      <c r="D27" s="832">
        <v>8.89</v>
      </c>
      <c r="E27" s="829"/>
      <c r="F27" s="830">
        <v>8.1</v>
      </c>
      <c r="G27" s="829"/>
      <c r="H27" s="830">
        <v>8.5</v>
      </c>
      <c r="I27" s="829"/>
      <c r="J27" s="830">
        <v>8.5</v>
      </c>
      <c r="K27" s="829"/>
      <c r="L27" s="746">
        <v>7.91</v>
      </c>
      <c r="M27" s="829"/>
      <c r="N27" s="832">
        <v>8.57</v>
      </c>
      <c r="O27" s="829"/>
      <c r="P27" s="830">
        <v>8.36</v>
      </c>
      <c r="Q27" s="829"/>
      <c r="R27" s="746">
        <v>8.0</v>
      </c>
      <c r="S27" s="829"/>
      <c r="T27" s="832">
        <v>8.65</v>
      </c>
      <c r="U27" s="829"/>
      <c r="V27" s="830">
        <v>8.11</v>
      </c>
      <c r="W27" s="829"/>
      <c r="X27" s="746">
        <v>7.64</v>
      </c>
      <c r="Y27" s="829"/>
      <c r="Z27" s="746">
        <v>7.6</v>
      </c>
      <c r="AA27" s="829"/>
      <c r="AB27" s="846">
        <v>7.5</v>
      </c>
      <c r="AC27" s="829"/>
      <c r="AD27" s="830">
        <v>8.5</v>
      </c>
      <c r="AE27" s="829"/>
      <c r="AF27" s="832">
        <v>8.75</v>
      </c>
      <c r="AG27" s="829"/>
      <c r="AH27" s="832">
        <v>8.71</v>
      </c>
      <c r="AI27" s="829"/>
      <c r="AJ27" s="746">
        <v>7.56</v>
      </c>
      <c r="AK27" s="829"/>
      <c r="AL27" s="830">
        <v>8.2</v>
      </c>
      <c r="AM27" s="829"/>
      <c r="AN27" s="746">
        <v>7.8</v>
      </c>
      <c r="AO27" s="829"/>
      <c r="AP27" s="830">
        <v>8.5</v>
      </c>
      <c r="AQ27" s="829"/>
      <c r="AR27" s="830">
        <v>8.5</v>
      </c>
      <c r="AS27" s="829"/>
      <c r="AT27" s="746">
        <v>7.88</v>
      </c>
      <c r="AU27" s="780"/>
      <c r="AV27" s="780"/>
    </row>
    <row r="28" ht="45.0" customHeight="1">
      <c r="B28" s="809" t="s">
        <v>282</v>
      </c>
      <c r="C28" s="838"/>
      <c r="D28" s="832">
        <v>8.78</v>
      </c>
      <c r="E28" s="838"/>
      <c r="F28" s="830">
        <v>8.2</v>
      </c>
      <c r="G28" s="838"/>
      <c r="H28" s="746">
        <v>8.0</v>
      </c>
      <c r="I28" s="838"/>
      <c r="J28" s="830">
        <v>8.29</v>
      </c>
      <c r="K28" s="838"/>
      <c r="L28" s="830">
        <v>8.27</v>
      </c>
      <c r="M28" s="838"/>
      <c r="N28" s="832">
        <v>8.71</v>
      </c>
      <c r="O28" s="838"/>
      <c r="P28" s="830">
        <v>8.46</v>
      </c>
      <c r="Q28" s="838"/>
      <c r="R28" s="830">
        <v>8.27</v>
      </c>
      <c r="S28" s="838"/>
      <c r="T28" s="832">
        <v>8.63</v>
      </c>
      <c r="U28" s="838"/>
      <c r="V28" s="830">
        <v>8.2</v>
      </c>
      <c r="W28" s="838"/>
      <c r="X28" s="746">
        <v>7.45</v>
      </c>
      <c r="Y28" s="838"/>
      <c r="Z28" s="830">
        <v>8.42</v>
      </c>
      <c r="AA28" s="838"/>
      <c r="AB28" s="846">
        <v>7.8</v>
      </c>
      <c r="AC28" s="838"/>
      <c r="AD28" s="830">
        <v>8.5</v>
      </c>
      <c r="AE28" s="838"/>
      <c r="AF28" s="830">
        <v>8.25</v>
      </c>
      <c r="AG28" s="838"/>
      <c r="AH28" s="830">
        <v>8.43</v>
      </c>
      <c r="AI28" s="838"/>
      <c r="AJ28" s="746">
        <v>7.9</v>
      </c>
      <c r="AK28" s="838"/>
      <c r="AL28" s="830">
        <v>8.3</v>
      </c>
      <c r="AM28" s="838"/>
      <c r="AN28" s="830">
        <v>8.1</v>
      </c>
      <c r="AO28" s="838"/>
      <c r="AP28" s="830">
        <v>8.17</v>
      </c>
      <c r="AQ28" s="838"/>
      <c r="AR28" s="830">
        <v>8.17</v>
      </c>
      <c r="AS28" s="838"/>
      <c r="AT28" s="746">
        <v>8.0</v>
      </c>
      <c r="AU28" s="780"/>
      <c r="AV28" s="780"/>
    </row>
    <row r="29" ht="45.0" customHeight="1">
      <c r="A29" s="856" t="s">
        <v>60</v>
      </c>
      <c r="B29" s="810" t="s">
        <v>242</v>
      </c>
      <c r="C29" s="841">
        <v>8.5</v>
      </c>
      <c r="D29" s="830">
        <v>8.33</v>
      </c>
      <c r="E29" s="842">
        <v>8.68</v>
      </c>
      <c r="F29" s="832">
        <v>8.6</v>
      </c>
      <c r="G29" s="841">
        <v>8.38</v>
      </c>
      <c r="H29" s="746">
        <v>7.5</v>
      </c>
      <c r="I29" s="841">
        <v>8.35</v>
      </c>
      <c r="J29" s="830">
        <v>8.14</v>
      </c>
      <c r="K29" s="841">
        <v>8.25</v>
      </c>
      <c r="L29" s="746">
        <v>7.73</v>
      </c>
      <c r="M29" s="842">
        <v>8.89</v>
      </c>
      <c r="N29" s="830">
        <v>8.43</v>
      </c>
      <c r="O29" s="841">
        <v>8.16</v>
      </c>
      <c r="P29" s="746">
        <v>7.57</v>
      </c>
      <c r="Q29" s="841">
        <v>8.24</v>
      </c>
      <c r="R29" s="746">
        <v>7.83</v>
      </c>
      <c r="S29" s="842">
        <v>8.87</v>
      </c>
      <c r="T29" s="830">
        <v>8.32</v>
      </c>
      <c r="U29" s="844">
        <v>7.6</v>
      </c>
      <c r="V29" s="833">
        <v>7.2</v>
      </c>
      <c r="W29" s="844">
        <v>7.21</v>
      </c>
      <c r="X29" s="833">
        <v>6.82</v>
      </c>
      <c r="Y29" s="842">
        <v>8.74</v>
      </c>
      <c r="Z29" s="830">
        <v>8.22</v>
      </c>
      <c r="AA29" s="844">
        <v>7.63</v>
      </c>
      <c r="AB29" s="834">
        <v>7.1</v>
      </c>
      <c r="AC29" s="844">
        <v>7.88</v>
      </c>
      <c r="AD29" s="833">
        <v>7.0</v>
      </c>
      <c r="AE29" s="841">
        <v>8.13</v>
      </c>
      <c r="AF29" s="746">
        <v>7.75</v>
      </c>
      <c r="AG29" s="844">
        <v>8.0</v>
      </c>
      <c r="AH29" s="746">
        <v>7.43</v>
      </c>
      <c r="AI29" s="841">
        <v>8.04</v>
      </c>
      <c r="AJ29" s="830">
        <v>8.2</v>
      </c>
      <c r="AK29" s="844">
        <v>7.38</v>
      </c>
      <c r="AL29" s="833">
        <v>6.7</v>
      </c>
      <c r="AM29" s="844">
        <v>7.48</v>
      </c>
      <c r="AN29" s="833">
        <v>7.1</v>
      </c>
      <c r="AO29" s="841">
        <v>8.08</v>
      </c>
      <c r="AP29" s="830">
        <v>8.33</v>
      </c>
      <c r="AQ29" s="841">
        <v>8.46</v>
      </c>
      <c r="AR29" s="832">
        <v>8.67</v>
      </c>
      <c r="AS29" s="841">
        <v>8.04</v>
      </c>
      <c r="AT29" s="746">
        <v>7.57</v>
      </c>
      <c r="AU29" s="780"/>
      <c r="AV29" s="780"/>
    </row>
    <row r="30" ht="45.0" customHeight="1">
      <c r="B30" s="810" t="s">
        <v>243</v>
      </c>
      <c r="C30" s="829"/>
      <c r="D30" s="830">
        <v>8.44</v>
      </c>
      <c r="E30" s="829"/>
      <c r="F30" s="832">
        <v>8.8</v>
      </c>
      <c r="G30" s="829"/>
      <c r="H30" s="830">
        <v>8.5</v>
      </c>
      <c r="I30" s="829"/>
      <c r="J30" s="830">
        <v>8.25</v>
      </c>
      <c r="K30" s="829"/>
      <c r="L30" s="830">
        <v>8.27</v>
      </c>
      <c r="M30" s="829"/>
      <c r="N30" s="835">
        <v>9.14</v>
      </c>
      <c r="O30" s="829"/>
      <c r="P30" s="830">
        <v>8.5</v>
      </c>
      <c r="Q30" s="829"/>
      <c r="R30" s="830">
        <v>8.36</v>
      </c>
      <c r="S30" s="829"/>
      <c r="T30" s="835">
        <v>9.15</v>
      </c>
      <c r="U30" s="829"/>
      <c r="V30" s="746">
        <v>7.89</v>
      </c>
      <c r="W30" s="829"/>
      <c r="X30" s="746">
        <v>7.4</v>
      </c>
      <c r="Y30" s="829"/>
      <c r="Z30" s="835">
        <v>9.15</v>
      </c>
      <c r="AA30" s="829"/>
      <c r="AB30" s="846">
        <v>7.6</v>
      </c>
      <c r="AC30" s="829"/>
      <c r="AD30" s="830">
        <v>8.25</v>
      </c>
      <c r="AE30" s="829"/>
      <c r="AF30" s="830">
        <v>8.25</v>
      </c>
      <c r="AG30" s="829"/>
      <c r="AH30" s="830">
        <v>8.14</v>
      </c>
      <c r="AI30" s="829"/>
      <c r="AJ30" s="746">
        <v>7.78</v>
      </c>
      <c r="AK30" s="829"/>
      <c r="AL30" s="746">
        <v>7.6</v>
      </c>
      <c r="AM30" s="829"/>
      <c r="AN30" s="746">
        <v>7.6</v>
      </c>
      <c r="AO30" s="829"/>
      <c r="AP30" s="746">
        <v>7.83</v>
      </c>
      <c r="AQ30" s="829"/>
      <c r="AR30" s="830">
        <v>8.17</v>
      </c>
      <c r="AS30" s="829"/>
      <c r="AT30" s="746">
        <v>7.86</v>
      </c>
      <c r="AU30" s="780"/>
      <c r="AV30" s="780"/>
    </row>
    <row r="31" ht="45.0" customHeight="1">
      <c r="B31" s="810" t="s">
        <v>216</v>
      </c>
      <c r="C31" s="829"/>
      <c r="D31" s="830">
        <v>8.44</v>
      </c>
      <c r="E31" s="829"/>
      <c r="F31" s="746">
        <v>8.0</v>
      </c>
      <c r="G31" s="829"/>
      <c r="H31" s="830">
        <v>8.5</v>
      </c>
      <c r="I31" s="829"/>
      <c r="J31" s="830">
        <v>8.14</v>
      </c>
      <c r="K31" s="829"/>
      <c r="L31" s="830">
        <v>8.36</v>
      </c>
      <c r="M31" s="829"/>
      <c r="N31" s="832">
        <v>8.71</v>
      </c>
      <c r="O31" s="829"/>
      <c r="P31" s="746">
        <v>7.86</v>
      </c>
      <c r="Q31" s="829"/>
      <c r="R31" s="746">
        <v>8.0</v>
      </c>
      <c r="S31" s="829"/>
      <c r="T31" s="832">
        <v>8.8</v>
      </c>
      <c r="U31" s="829"/>
      <c r="V31" s="830">
        <v>8.2</v>
      </c>
      <c r="W31" s="829"/>
      <c r="X31" s="746">
        <v>7.82</v>
      </c>
      <c r="Y31" s="829"/>
      <c r="Z31" s="830">
        <v>8.15</v>
      </c>
      <c r="AA31" s="829"/>
      <c r="AB31" s="848">
        <v>8.5</v>
      </c>
      <c r="AC31" s="829"/>
      <c r="AD31" s="830">
        <v>8.25</v>
      </c>
      <c r="AE31" s="829"/>
      <c r="AF31" s="830">
        <v>8.5</v>
      </c>
      <c r="AG31" s="829"/>
      <c r="AH31" s="830">
        <v>8.29</v>
      </c>
      <c r="AI31" s="829"/>
      <c r="AJ31" s="746">
        <v>7.7</v>
      </c>
      <c r="AK31" s="829"/>
      <c r="AL31" s="830">
        <v>8.1</v>
      </c>
      <c r="AM31" s="829"/>
      <c r="AN31" s="746">
        <v>7.9</v>
      </c>
      <c r="AO31" s="829"/>
      <c r="AP31" s="830">
        <v>8.17</v>
      </c>
      <c r="AQ31" s="829"/>
      <c r="AR31" s="832">
        <v>9.0</v>
      </c>
      <c r="AS31" s="829"/>
      <c r="AT31" s="832">
        <v>8.57</v>
      </c>
      <c r="AU31" s="780"/>
      <c r="AV31" s="780"/>
    </row>
    <row r="32" ht="45.0" customHeight="1">
      <c r="A32" s="6"/>
      <c r="B32" s="810" t="s">
        <v>244</v>
      </c>
      <c r="C32" s="838"/>
      <c r="D32" s="832">
        <v>8.78</v>
      </c>
      <c r="E32" s="838"/>
      <c r="F32" s="835">
        <v>9.3</v>
      </c>
      <c r="G32" s="838"/>
      <c r="H32" s="832">
        <v>9.0</v>
      </c>
      <c r="I32" s="838"/>
      <c r="J32" s="832">
        <v>8.86</v>
      </c>
      <c r="K32" s="838"/>
      <c r="L32" s="832">
        <v>8.64</v>
      </c>
      <c r="M32" s="838"/>
      <c r="N32" s="835">
        <v>9.29</v>
      </c>
      <c r="O32" s="838"/>
      <c r="P32" s="832">
        <v>8.71</v>
      </c>
      <c r="Q32" s="838"/>
      <c r="R32" s="832">
        <v>8.75</v>
      </c>
      <c r="S32" s="838"/>
      <c r="T32" s="835">
        <v>9.2</v>
      </c>
      <c r="U32" s="838"/>
      <c r="V32" s="833">
        <v>7.1</v>
      </c>
      <c r="W32" s="838"/>
      <c r="X32" s="833">
        <v>6.82</v>
      </c>
      <c r="Y32" s="838"/>
      <c r="Z32" s="835">
        <v>9.45</v>
      </c>
      <c r="AA32" s="838"/>
      <c r="AB32" s="746">
        <v>7.3</v>
      </c>
      <c r="AC32" s="838"/>
      <c r="AD32" s="746">
        <v>8.0</v>
      </c>
      <c r="AE32" s="838"/>
      <c r="AF32" s="746">
        <v>8.0</v>
      </c>
      <c r="AG32" s="838"/>
      <c r="AH32" s="830">
        <v>8.14</v>
      </c>
      <c r="AI32" s="838"/>
      <c r="AJ32" s="830">
        <v>8.5</v>
      </c>
      <c r="AK32" s="838"/>
      <c r="AL32" s="833">
        <v>7.1</v>
      </c>
      <c r="AM32" s="838"/>
      <c r="AN32" s="746">
        <v>7.3</v>
      </c>
      <c r="AO32" s="838"/>
      <c r="AP32" s="746">
        <v>8.0</v>
      </c>
      <c r="AQ32" s="838"/>
      <c r="AR32" s="746">
        <v>8.0</v>
      </c>
      <c r="AS32" s="838"/>
      <c r="AT32" s="830">
        <v>8.14</v>
      </c>
      <c r="AU32" s="780"/>
      <c r="AV32" s="780"/>
    </row>
    <row r="33">
      <c r="A33" s="765"/>
      <c r="B33" s="765"/>
      <c r="C33" s="811" t="s">
        <v>188</v>
      </c>
      <c r="D33" s="800">
        <f>AVERAGE(D3:D32)</f>
        <v>8.604</v>
      </c>
      <c r="E33" s="811" t="s">
        <v>188</v>
      </c>
      <c r="F33" s="800">
        <f>AVERAGE(F3:F32)</f>
        <v>8.613</v>
      </c>
      <c r="G33" s="811" t="s">
        <v>188</v>
      </c>
      <c r="H33" s="800">
        <f>AVERAGE(H3:H32)</f>
        <v>8.183333333</v>
      </c>
      <c r="I33" s="811" t="s">
        <v>188</v>
      </c>
      <c r="J33" s="800">
        <f>AVERAGE(J3:J32)</f>
        <v>8.475333333</v>
      </c>
      <c r="K33" s="811" t="s">
        <v>188</v>
      </c>
      <c r="L33" s="798">
        <f>AVERAGE(L3:L32)</f>
        <v>8.105666667</v>
      </c>
      <c r="M33" s="811" t="s">
        <v>188</v>
      </c>
      <c r="N33" s="800">
        <f>AVERAGE(N3:N32)</f>
        <v>8.817333333</v>
      </c>
      <c r="O33" s="811" t="s">
        <v>188</v>
      </c>
      <c r="P33" s="798">
        <f>AVERAGE(P3:P32)</f>
        <v>8.265666667</v>
      </c>
      <c r="Q33" s="811" t="s">
        <v>188</v>
      </c>
      <c r="R33" s="798">
        <f>AVERAGE(R3:R32)</f>
        <v>8.153333333</v>
      </c>
      <c r="S33" s="811" t="s">
        <v>188</v>
      </c>
      <c r="T33" s="800">
        <f>AVERAGE(T3:T32)</f>
        <v>8.473333333</v>
      </c>
      <c r="U33" s="811" t="s">
        <v>188</v>
      </c>
      <c r="V33" s="799">
        <f>AVERAGE(V3:V32)</f>
        <v>7.623666667</v>
      </c>
      <c r="W33" s="811" t="s">
        <v>188</v>
      </c>
      <c r="X33" s="799">
        <f>AVERAGE(X3:X32)</f>
        <v>7.196</v>
      </c>
      <c r="Y33" s="811" t="s">
        <v>188</v>
      </c>
      <c r="Z33" s="800">
        <f>AVERAGE(Z3:Z32)</f>
        <v>8.504</v>
      </c>
      <c r="AA33" s="766" t="s">
        <v>188</v>
      </c>
      <c r="AB33" s="767">
        <f>AVERAGE(AB3:AB32)</f>
        <v>7.373333333</v>
      </c>
      <c r="AC33" s="766" t="s">
        <v>188</v>
      </c>
      <c r="AD33" s="767">
        <f>AVERAGE(AD3:AD32)</f>
        <v>7.975</v>
      </c>
      <c r="AE33" s="766" t="s">
        <v>188</v>
      </c>
      <c r="AF33" s="767">
        <f>AVERAGE(AF3:AF32)</f>
        <v>8.175</v>
      </c>
      <c r="AG33" s="766" t="s">
        <v>188</v>
      </c>
      <c r="AH33" s="767">
        <f>AVERAGE(AH3:AH32)</f>
        <v>8.137666667</v>
      </c>
      <c r="AI33" s="766" t="s">
        <v>188</v>
      </c>
      <c r="AJ33" s="767">
        <f>AVERAGE(AJ3:AJ32)</f>
        <v>7.742</v>
      </c>
      <c r="AK33" s="766" t="s">
        <v>188</v>
      </c>
      <c r="AL33" s="767">
        <f>AVERAGE(AL3:AL32)</f>
        <v>7.536666667</v>
      </c>
      <c r="AM33" s="766" t="s">
        <v>188</v>
      </c>
      <c r="AN33" s="767">
        <f>AVERAGE(AN3:AN32)</f>
        <v>7.523333333</v>
      </c>
      <c r="AO33" s="766" t="s">
        <v>188</v>
      </c>
      <c r="AP33" s="767">
        <f>AVERAGE(AP3:AP32)</f>
        <v>7.974</v>
      </c>
      <c r="AQ33" s="766" t="s">
        <v>188</v>
      </c>
      <c r="AR33" s="767">
        <f>AVERAGE(AR3:AR32)</f>
        <v>8.222333333</v>
      </c>
      <c r="AS33" s="766" t="s">
        <v>188</v>
      </c>
      <c r="AT33" s="767">
        <f>AVERAGE(AT3:AT32)</f>
        <v>7.881333333</v>
      </c>
      <c r="AU33" s="780"/>
      <c r="AV33" s="780"/>
    </row>
    <row r="34">
      <c r="A34" s="765"/>
      <c r="B34" s="765"/>
      <c r="C34" s="768"/>
      <c r="D34" s="768"/>
      <c r="E34" s="768"/>
      <c r="F34" s="768"/>
      <c r="G34" s="768"/>
      <c r="H34" s="768"/>
      <c r="I34" s="768"/>
      <c r="J34" s="768"/>
      <c r="K34" s="768"/>
      <c r="L34" s="768"/>
      <c r="M34" s="768"/>
      <c r="N34" s="768"/>
      <c r="O34" s="768"/>
      <c r="P34" s="768"/>
      <c r="Q34" s="768"/>
      <c r="R34" s="768"/>
      <c r="S34" s="768"/>
      <c r="T34" s="768"/>
      <c r="U34" s="768"/>
      <c r="V34" s="768"/>
      <c r="W34" s="768"/>
      <c r="X34" s="768"/>
      <c r="Y34" s="768"/>
      <c r="Z34" s="768"/>
      <c r="AA34" s="768"/>
      <c r="AB34" s="768"/>
      <c r="AC34" s="768"/>
      <c r="AD34" s="768"/>
      <c r="AE34" s="768"/>
      <c r="AF34" s="768"/>
      <c r="AG34" s="768"/>
      <c r="AH34" s="768"/>
      <c r="AI34" s="768"/>
      <c r="AJ34" s="768"/>
      <c r="AK34" s="768"/>
      <c r="AL34" s="768"/>
      <c r="AM34" s="768"/>
      <c r="AN34" s="768"/>
      <c r="AO34" s="768"/>
      <c r="AP34" s="768"/>
      <c r="AQ34" s="768"/>
      <c r="AR34" s="768"/>
      <c r="AS34" s="768"/>
      <c r="AT34" s="768"/>
      <c r="AU34" s="780"/>
      <c r="AV34" s="780"/>
    </row>
    <row r="35">
      <c r="A35" s="765"/>
      <c r="B35" s="765"/>
      <c r="C35" s="769"/>
      <c r="D35" s="769"/>
      <c r="E35" s="769"/>
      <c r="F35" s="769"/>
      <c r="G35" s="770"/>
      <c r="H35" s="770"/>
      <c r="I35" s="770"/>
      <c r="J35" s="770"/>
      <c r="K35" s="770"/>
      <c r="L35" s="770"/>
      <c r="M35" s="769"/>
      <c r="N35" s="769"/>
      <c r="O35" s="769"/>
      <c r="P35" s="769"/>
      <c r="Q35" s="769"/>
      <c r="R35" s="769"/>
      <c r="S35" s="769"/>
      <c r="T35" s="769"/>
      <c r="U35" s="769"/>
      <c r="V35" s="769"/>
      <c r="W35" s="769"/>
      <c r="X35" s="769"/>
      <c r="Y35" s="769"/>
      <c r="Z35" s="769"/>
      <c r="AA35" s="769"/>
      <c r="AB35" s="769"/>
      <c r="AC35" s="769"/>
      <c r="AD35" s="769"/>
      <c r="AE35" s="769"/>
      <c r="AF35" s="769"/>
      <c r="AG35" s="769"/>
      <c r="AH35" s="769"/>
      <c r="AI35" s="769"/>
      <c r="AJ35" s="769"/>
      <c r="AK35" s="769"/>
      <c r="AL35" s="769"/>
      <c r="AM35" s="769"/>
      <c r="AN35" s="769"/>
      <c r="AO35" s="769"/>
      <c r="AP35" s="769"/>
      <c r="AQ35" s="769"/>
      <c r="AR35" s="769"/>
      <c r="AS35" s="769"/>
      <c r="AT35" s="769"/>
      <c r="AU35" s="780"/>
      <c r="AV35" s="780"/>
    </row>
    <row r="36" ht="132.75" customHeight="1">
      <c r="A36" s="765"/>
      <c r="B36" s="771" t="s">
        <v>70</v>
      </c>
      <c r="C36" s="772" t="s">
        <v>283</v>
      </c>
      <c r="D36" s="773"/>
      <c r="E36" s="772" t="s">
        <v>284</v>
      </c>
      <c r="F36" s="773"/>
      <c r="G36" s="772" t="s">
        <v>285</v>
      </c>
      <c r="H36" s="812"/>
      <c r="I36" s="772" t="s">
        <v>286</v>
      </c>
      <c r="J36" s="773"/>
      <c r="K36" s="774" t="s">
        <v>287</v>
      </c>
      <c r="L36" s="775"/>
      <c r="M36" s="772" t="s">
        <v>288</v>
      </c>
      <c r="N36" s="773"/>
      <c r="O36" s="774" t="s">
        <v>289</v>
      </c>
      <c r="P36" s="775"/>
      <c r="Q36" s="774" t="s">
        <v>290</v>
      </c>
      <c r="R36" s="775"/>
      <c r="S36" s="774" t="s">
        <v>291</v>
      </c>
      <c r="T36" s="813"/>
      <c r="U36" s="774" t="s">
        <v>292</v>
      </c>
      <c r="V36" s="775"/>
      <c r="W36" s="774" t="s">
        <v>293</v>
      </c>
      <c r="X36" s="813"/>
      <c r="Y36" s="774" t="s">
        <v>294</v>
      </c>
      <c r="Z36" s="813"/>
      <c r="AA36" s="774" t="s">
        <v>295</v>
      </c>
      <c r="AB36" s="775"/>
      <c r="AC36" s="772" t="s">
        <v>296</v>
      </c>
      <c r="AD36" s="773"/>
      <c r="AE36" s="772" t="s">
        <v>297</v>
      </c>
      <c r="AF36" s="773"/>
      <c r="AG36" s="772" t="s">
        <v>298</v>
      </c>
      <c r="AH36" s="773"/>
      <c r="AI36" s="774" t="s">
        <v>299</v>
      </c>
      <c r="AJ36" s="775"/>
      <c r="AK36" s="772" t="s">
        <v>300</v>
      </c>
      <c r="AL36" s="812"/>
      <c r="AM36" s="772" t="s">
        <v>301</v>
      </c>
      <c r="AN36" s="812"/>
      <c r="AO36" s="772" t="s">
        <v>302</v>
      </c>
      <c r="AP36" s="773"/>
      <c r="AQ36" s="772" t="s">
        <v>303</v>
      </c>
      <c r="AR36" s="773"/>
      <c r="AS36" s="772" t="s">
        <v>304</v>
      </c>
      <c r="AT36" s="773"/>
      <c r="AU36" s="780"/>
      <c r="AV36" s="780"/>
    </row>
    <row r="37" ht="130.5" customHeight="1">
      <c r="A37" s="765"/>
      <c r="B37" s="776" t="s">
        <v>73</v>
      </c>
      <c r="C37" s="772" t="s">
        <v>305</v>
      </c>
      <c r="D37" s="773"/>
      <c r="E37" s="772" t="s">
        <v>306</v>
      </c>
      <c r="F37" s="773"/>
      <c r="G37" s="772" t="s">
        <v>307</v>
      </c>
      <c r="H37" s="812"/>
      <c r="I37" s="772" t="s">
        <v>308</v>
      </c>
      <c r="J37" s="773"/>
      <c r="K37" s="774" t="s">
        <v>309</v>
      </c>
      <c r="L37" s="775"/>
      <c r="M37" s="772" t="s">
        <v>310</v>
      </c>
      <c r="N37" s="773"/>
      <c r="O37" s="777" t="s">
        <v>311</v>
      </c>
      <c r="P37" s="748"/>
      <c r="Q37" s="777" t="s">
        <v>312</v>
      </c>
      <c r="R37" s="748"/>
      <c r="S37" s="777" t="s">
        <v>313</v>
      </c>
      <c r="T37" s="814"/>
      <c r="U37" s="777" t="s">
        <v>314</v>
      </c>
      <c r="V37" s="748"/>
      <c r="W37" s="772" t="s">
        <v>315</v>
      </c>
      <c r="X37" s="812"/>
      <c r="Y37" s="772" t="s">
        <v>316</v>
      </c>
      <c r="Z37" s="812"/>
      <c r="AA37" s="774" t="s">
        <v>317</v>
      </c>
      <c r="AB37" s="775"/>
      <c r="AC37" s="772" t="s">
        <v>318</v>
      </c>
      <c r="AD37" s="773"/>
      <c r="AE37" s="772" t="s">
        <v>319</v>
      </c>
      <c r="AF37" s="773"/>
      <c r="AG37" s="772" t="s">
        <v>320</v>
      </c>
      <c r="AH37" s="773"/>
      <c r="AI37" s="777" t="s">
        <v>321</v>
      </c>
      <c r="AJ37" s="748"/>
      <c r="AK37" s="772" t="s">
        <v>322</v>
      </c>
      <c r="AL37" s="812"/>
      <c r="AM37" s="772" t="s">
        <v>323</v>
      </c>
      <c r="AN37" s="812"/>
      <c r="AO37" s="772" t="s">
        <v>324</v>
      </c>
      <c r="AP37" s="773"/>
      <c r="AQ37" s="772" t="s">
        <v>325</v>
      </c>
      <c r="AR37" s="773"/>
      <c r="AS37" s="772" t="s">
        <v>326</v>
      </c>
      <c r="AT37" s="773"/>
      <c r="AU37" s="780"/>
      <c r="AV37" s="780"/>
    </row>
    <row r="38">
      <c r="A38" s="765"/>
      <c r="B38" s="765"/>
      <c r="C38" s="765"/>
      <c r="D38" s="765"/>
      <c r="E38" s="765"/>
      <c r="F38" s="765"/>
      <c r="G38" s="765"/>
      <c r="H38" s="765"/>
      <c r="I38" s="765"/>
      <c r="J38" s="765"/>
      <c r="K38" s="765"/>
      <c r="L38" s="765"/>
      <c r="M38" s="765"/>
      <c r="N38" s="765"/>
      <c r="O38" s="765"/>
      <c r="P38" s="765"/>
      <c r="Q38" s="765"/>
      <c r="R38" s="765"/>
      <c r="S38" s="765"/>
      <c r="T38" s="765"/>
      <c r="U38" s="765"/>
      <c r="V38" s="765"/>
      <c r="W38" s="765"/>
      <c r="X38" s="765"/>
      <c r="Y38" s="765"/>
      <c r="Z38" s="765"/>
      <c r="AA38" s="765"/>
      <c r="AB38" s="765"/>
      <c r="AC38" s="765"/>
      <c r="AD38" s="765"/>
      <c r="AE38" s="765"/>
      <c r="AF38" s="765"/>
      <c r="AG38" s="765"/>
      <c r="AH38" s="765"/>
      <c r="AI38" s="765"/>
      <c r="AJ38" s="765"/>
      <c r="AK38" s="765"/>
      <c r="AL38" s="765"/>
      <c r="AM38" s="765"/>
      <c r="AN38" s="765"/>
      <c r="AO38" s="765"/>
      <c r="AP38" s="765"/>
      <c r="AQ38" s="765"/>
      <c r="AR38" s="765"/>
      <c r="AS38" s="765"/>
      <c r="AT38" s="765"/>
      <c r="AU38" s="780"/>
      <c r="AV38" s="780"/>
    </row>
    <row r="39">
      <c r="A39" s="765"/>
      <c r="B39" s="765"/>
      <c r="C39" s="765"/>
      <c r="D39" s="765"/>
      <c r="E39" s="765"/>
      <c r="F39" s="765"/>
      <c r="G39" s="765"/>
      <c r="H39" s="765"/>
      <c r="I39" s="765"/>
      <c r="J39" s="765"/>
      <c r="K39" s="765"/>
      <c r="L39" s="765"/>
      <c r="M39" s="765"/>
      <c r="N39" s="765"/>
      <c r="O39" s="765"/>
      <c r="P39" s="765"/>
      <c r="Q39" s="765"/>
      <c r="R39" s="765"/>
      <c r="S39" s="765"/>
      <c r="T39" s="765"/>
      <c r="U39" s="765"/>
      <c r="V39" s="765"/>
      <c r="W39" s="765"/>
      <c r="X39" s="765"/>
      <c r="Y39" s="765"/>
      <c r="Z39" s="765"/>
      <c r="AA39" s="765"/>
      <c r="AB39" s="765"/>
      <c r="AC39" s="765"/>
      <c r="AD39" s="765"/>
      <c r="AE39" s="765"/>
      <c r="AF39" s="765"/>
      <c r="AG39" s="765"/>
      <c r="AH39" s="765"/>
      <c r="AI39" s="765"/>
      <c r="AJ39" s="765"/>
      <c r="AK39" s="765"/>
      <c r="AL39" s="765"/>
      <c r="AM39" s="765"/>
      <c r="AN39" s="765"/>
      <c r="AO39" s="765"/>
      <c r="AP39" s="765"/>
      <c r="AQ39" s="765"/>
      <c r="AR39" s="765"/>
      <c r="AS39" s="765"/>
      <c r="AT39" s="765"/>
      <c r="AU39" s="780"/>
      <c r="AV39" s="780"/>
    </row>
  </sheetData>
  <mergeCells count="248">
    <mergeCell ref="U3:U6"/>
    <mergeCell ref="U7:U15"/>
    <mergeCell ref="Y3:Y6"/>
    <mergeCell ref="Y7:Y15"/>
    <mergeCell ref="O3:O6"/>
    <mergeCell ref="S3:S6"/>
    <mergeCell ref="W3:W6"/>
    <mergeCell ref="AA3:AA6"/>
    <mergeCell ref="O7:O15"/>
    <mergeCell ref="S7:S15"/>
    <mergeCell ref="W7:W15"/>
    <mergeCell ref="AA7:AA15"/>
    <mergeCell ref="AI3:AI6"/>
    <mergeCell ref="AI7:AI15"/>
    <mergeCell ref="AM3:AM6"/>
    <mergeCell ref="AM7:AM15"/>
    <mergeCell ref="AC3:AC6"/>
    <mergeCell ref="AG3:AG6"/>
    <mergeCell ref="AK3:AK6"/>
    <mergeCell ref="AO3:AO6"/>
    <mergeCell ref="AC7:AC15"/>
    <mergeCell ref="AG7:AG15"/>
    <mergeCell ref="AK7:AK15"/>
    <mergeCell ref="AO7:AO15"/>
    <mergeCell ref="AE1:AF1"/>
    <mergeCell ref="AG1:AH1"/>
    <mergeCell ref="AI1:AJ1"/>
    <mergeCell ref="AK1:AL1"/>
    <mergeCell ref="AM1:AN1"/>
    <mergeCell ref="AO1:AP1"/>
    <mergeCell ref="AQ1:AR1"/>
    <mergeCell ref="AS1:AT1"/>
    <mergeCell ref="Q1:R1"/>
    <mergeCell ref="S1:T1"/>
    <mergeCell ref="U1:V1"/>
    <mergeCell ref="W1:X1"/>
    <mergeCell ref="Y1:Z1"/>
    <mergeCell ref="AA1:AB1"/>
    <mergeCell ref="AC1:AD1"/>
    <mergeCell ref="C1:D1"/>
    <mergeCell ref="E1:F1"/>
    <mergeCell ref="G1:H1"/>
    <mergeCell ref="I1:J1"/>
    <mergeCell ref="K1:L1"/>
    <mergeCell ref="M1:N1"/>
    <mergeCell ref="O1:P1"/>
    <mergeCell ref="AQ3:AQ6"/>
    <mergeCell ref="AS3:AS6"/>
    <mergeCell ref="AQ7:AQ15"/>
    <mergeCell ref="AS7:AS15"/>
    <mergeCell ref="C3:C6"/>
    <mergeCell ref="C7:C15"/>
    <mergeCell ref="Q3:Q6"/>
    <mergeCell ref="Q7:Q15"/>
    <mergeCell ref="AE3:AE6"/>
    <mergeCell ref="AE7:AE15"/>
    <mergeCell ref="U16:U20"/>
    <mergeCell ref="W16:W20"/>
    <mergeCell ref="Y16:Y20"/>
    <mergeCell ref="AA16:AA20"/>
    <mergeCell ref="AC16:AC20"/>
    <mergeCell ref="AE16:AE20"/>
    <mergeCell ref="AG16:AG20"/>
    <mergeCell ref="Q16:Q20"/>
    <mergeCell ref="Q21:Q24"/>
    <mergeCell ref="U21:U24"/>
    <mergeCell ref="W21:W24"/>
    <mergeCell ref="Y21:Y24"/>
    <mergeCell ref="AA21:AA24"/>
    <mergeCell ref="AC21:AC24"/>
    <mergeCell ref="K3:K6"/>
    <mergeCell ref="K7:K15"/>
    <mergeCell ref="K16:K20"/>
    <mergeCell ref="O16:O20"/>
    <mergeCell ref="S16:S20"/>
    <mergeCell ref="K21:K24"/>
    <mergeCell ref="O21:O24"/>
    <mergeCell ref="S21:S24"/>
    <mergeCell ref="M16:M20"/>
    <mergeCell ref="M21:M24"/>
    <mergeCell ref="K25:K28"/>
    <mergeCell ref="M25:M28"/>
    <mergeCell ref="O25:O28"/>
    <mergeCell ref="Q25:Q28"/>
    <mergeCell ref="S25:S28"/>
    <mergeCell ref="A7:A15"/>
    <mergeCell ref="A16:A20"/>
    <mergeCell ref="C16:C20"/>
    <mergeCell ref="E16:E20"/>
    <mergeCell ref="A21:A24"/>
    <mergeCell ref="E21:E24"/>
    <mergeCell ref="E25:E28"/>
    <mergeCell ref="C21:C24"/>
    <mergeCell ref="C25:C28"/>
    <mergeCell ref="C33:C34"/>
    <mergeCell ref="D33:D34"/>
    <mergeCell ref="E33:E34"/>
    <mergeCell ref="F33:F34"/>
    <mergeCell ref="G33:G34"/>
    <mergeCell ref="H33:H34"/>
    <mergeCell ref="I33:I34"/>
    <mergeCell ref="J33:J34"/>
    <mergeCell ref="K33:K34"/>
    <mergeCell ref="L33:L34"/>
    <mergeCell ref="M33:M34"/>
    <mergeCell ref="N33:N34"/>
    <mergeCell ref="O33:O34"/>
    <mergeCell ref="P33:P34"/>
    <mergeCell ref="Q33:Q34"/>
    <mergeCell ref="R33:R34"/>
    <mergeCell ref="S33:S34"/>
    <mergeCell ref="T33:T34"/>
    <mergeCell ref="U33:U34"/>
    <mergeCell ref="V33:V34"/>
    <mergeCell ref="W33:W34"/>
    <mergeCell ref="X33:X34"/>
    <mergeCell ref="Y33:Y34"/>
    <mergeCell ref="Z33:Z34"/>
    <mergeCell ref="AA33:AA34"/>
    <mergeCell ref="AB33:AB34"/>
    <mergeCell ref="AC33:AC34"/>
    <mergeCell ref="AD33:AD34"/>
    <mergeCell ref="AE33:AE34"/>
    <mergeCell ref="AF33:AF34"/>
    <mergeCell ref="AG33:AG34"/>
    <mergeCell ref="AH33:AH34"/>
    <mergeCell ref="AI33:AI34"/>
    <mergeCell ref="AQ33:AQ34"/>
    <mergeCell ref="AR33:AR34"/>
    <mergeCell ref="AS33:AS34"/>
    <mergeCell ref="AT33:AT34"/>
    <mergeCell ref="AJ33:AJ34"/>
    <mergeCell ref="AK33:AK34"/>
    <mergeCell ref="AL33:AL34"/>
    <mergeCell ref="AM33:AM34"/>
    <mergeCell ref="AN33:AN34"/>
    <mergeCell ref="AO33:AO34"/>
    <mergeCell ref="AP33:AP34"/>
    <mergeCell ref="G25:G28"/>
    <mergeCell ref="G29:G32"/>
    <mergeCell ref="K29:K32"/>
    <mergeCell ref="M29:M32"/>
    <mergeCell ref="O29:O32"/>
    <mergeCell ref="Q29:Q32"/>
    <mergeCell ref="S29:S32"/>
    <mergeCell ref="I36:J36"/>
    <mergeCell ref="K36:L36"/>
    <mergeCell ref="M36:N36"/>
    <mergeCell ref="O36:P36"/>
    <mergeCell ref="Q36:R36"/>
    <mergeCell ref="S36:T36"/>
    <mergeCell ref="U36:V36"/>
    <mergeCell ref="AK36:AL36"/>
    <mergeCell ref="AM36:AN36"/>
    <mergeCell ref="AO36:AP36"/>
    <mergeCell ref="AQ36:AR36"/>
    <mergeCell ref="AS36:AT36"/>
    <mergeCell ref="W36:X36"/>
    <mergeCell ref="Y36:Z36"/>
    <mergeCell ref="AA36:AB36"/>
    <mergeCell ref="AC36:AD36"/>
    <mergeCell ref="AE36:AF36"/>
    <mergeCell ref="AG36:AH36"/>
    <mergeCell ref="AI36:AJ36"/>
    <mergeCell ref="A25:A28"/>
    <mergeCell ref="A29:A32"/>
    <mergeCell ref="C29:C32"/>
    <mergeCell ref="E29:E32"/>
    <mergeCell ref="C36:D36"/>
    <mergeCell ref="E36:F36"/>
    <mergeCell ref="G36:H36"/>
    <mergeCell ref="C37:D37"/>
    <mergeCell ref="E37:F37"/>
    <mergeCell ref="G37:H37"/>
    <mergeCell ref="I37:J37"/>
    <mergeCell ref="K37:L37"/>
    <mergeCell ref="M37:N37"/>
    <mergeCell ref="O37:P37"/>
    <mergeCell ref="AE37:AF37"/>
    <mergeCell ref="AG37:AH37"/>
    <mergeCell ref="AI37:AJ37"/>
    <mergeCell ref="AK37:AL37"/>
    <mergeCell ref="AM37:AN37"/>
    <mergeCell ref="AO37:AP37"/>
    <mergeCell ref="AQ37:AR37"/>
    <mergeCell ref="AS37:AT37"/>
    <mergeCell ref="Q37:R37"/>
    <mergeCell ref="S37:T37"/>
    <mergeCell ref="U37:V37"/>
    <mergeCell ref="W37:X37"/>
    <mergeCell ref="Y37:Z37"/>
    <mergeCell ref="AA37:AB37"/>
    <mergeCell ref="AC37:AD37"/>
    <mergeCell ref="A3:A6"/>
    <mergeCell ref="E3:E6"/>
    <mergeCell ref="I3:I6"/>
    <mergeCell ref="M3:M6"/>
    <mergeCell ref="E7:E15"/>
    <mergeCell ref="I7:I15"/>
    <mergeCell ref="M7:M15"/>
    <mergeCell ref="AI16:AI20"/>
    <mergeCell ref="AK16:AK20"/>
    <mergeCell ref="AM16:AM20"/>
    <mergeCell ref="AO16:AO20"/>
    <mergeCell ref="AQ16:AQ20"/>
    <mergeCell ref="AS16:AS20"/>
    <mergeCell ref="AE21:AE24"/>
    <mergeCell ref="AG21:AG24"/>
    <mergeCell ref="AI21:AI24"/>
    <mergeCell ref="AK21:AK24"/>
    <mergeCell ref="AM21:AM24"/>
    <mergeCell ref="AO21:AO24"/>
    <mergeCell ref="AQ21:AQ24"/>
    <mergeCell ref="AS21:AS24"/>
    <mergeCell ref="AI25:AI28"/>
    <mergeCell ref="AK25:AK28"/>
    <mergeCell ref="AM25:AM28"/>
    <mergeCell ref="AO25:AO28"/>
    <mergeCell ref="AQ25:AQ28"/>
    <mergeCell ref="AS25:AS28"/>
    <mergeCell ref="U25:U28"/>
    <mergeCell ref="W25:W28"/>
    <mergeCell ref="Y25:Y28"/>
    <mergeCell ref="AA25:AA28"/>
    <mergeCell ref="AC25:AC28"/>
    <mergeCell ref="AE25:AE28"/>
    <mergeCell ref="AG25:AG28"/>
    <mergeCell ref="G3:G6"/>
    <mergeCell ref="G7:G15"/>
    <mergeCell ref="G16:G20"/>
    <mergeCell ref="I16:I20"/>
    <mergeCell ref="G21:G24"/>
    <mergeCell ref="I21:I24"/>
    <mergeCell ref="I25:I28"/>
    <mergeCell ref="I29:I32"/>
    <mergeCell ref="AI29:AI32"/>
    <mergeCell ref="AK29:AK32"/>
    <mergeCell ref="AM29:AM32"/>
    <mergeCell ref="AO29:AO32"/>
    <mergeCell ref="AQ29:AQ32"/>
    <mergeCell ref="AS29:AS32"/>
    <mergeCell ref="U29:U32"/>
    <mergeCell ref="W29:W32"/>
    <mergeCell ref="Y29:Y32"/>
    <mergeCell ref="AA29:AA32"/>
    <mergeCell ref="AC29:AC32"/>
    <mergeCell ref="AE29:AE32"/>
    <mergeCell ref="AG29:AG32"/>
  </mergeCells>
  <conditionalFormatting sqref="C3:C29 D3:D32 E3:E29 F3:F32 I3:I29 J3:J32 K3:K29 L3:L32 M3:M29 N3:N32 O3:O29 P3:P32 Q3:Q29 R3:R32 S3:S29 T3:T32 U3:U29 V3:V32 W3 X3:X32 Y3:Y29 Z3:Z32 AA3:AA29 AB3:AB34 AC3:AC31 AD3:AD34 AE3:AE29 AF3:AF34 AG3:AG29 AH3:AH34 AI3:AI29 AJ3:AJ34 AK3:AK29 AL3:AL34 AM3:AM29 AN3:AN34 AO3:AO29 AP3:AP34 AQ3:AQ29 AR3:AR34 AS3:AS29 AT3:AT34 W7 W16 W21 W25 W29 AC33:AC34 AE33:AE34 AG33:AG34 AI33:AI34 AK33:AK34 AM33:AM34 AO33:AO34 AQ33:AQ34 AS33:AS34">
    <cfRule type="cellIs" dxfId="1" priority="1" operator="greaterThan">
      <formula>8.8</formula>
    </cfRule>
  </conditionalFormatting>
  <conditionalFormatting sqref="C3:C29 D3:D32 E3:E29 F3:F32 I3:I29 J3:J32 K3:K29 L3:L32 M3:M29 N3:N32 O3:O29 P3:P32 Q3:Q29 R3:R32 S3:S29 T3:T32 U3:U29 V3:V32 W3 X3:X32 Y3:Y29 Z3:Z32 AA3:AA29 AB3:AB34 AC3:AC31 AD3:AD34 AE3:AE29 AF3:AF34 AG3:AG29 AH3:AH34 AI3:AI29 AJ3:AJ34 AK3:AK29 AL3:AL34 AM3:AM29 AN3:AN34 AO3:AO29 AP3:AP34 AQ3:AQ29 AR3:AR34 AS3:AS29 AT3:AT34 W7 W16 W21 W25 W29 AC33:AC34 AE33:AE34 AG33:AG34 AI33:AI34 AK33:AK34 AM33:AM34 AO33:AO34 AQ33:AQ34 AS33:AS34">
    <cfRule type="cellIs" dxfId="12" priority="2" operator="between">
      <formula>8.300001</formula>
      <formula>8.8</formula>
    </cfRule>
  </conditionalFormatting>
  <conditionalFormatting sqref="C3:C29 D3:D32 E3:E29 F3:F32 I3:I29 J3:J32 K3:K29 L3:L32 M3:M29 N3:N32 O3:O29 P3:P32 Q3:Q29 R3:R32 S3:S29 T3:T32 U3:U29 V3:V32 W3 X3:X32 Y3:Y29 Z3:Z32 AA3:AA29 AB3:AB34 AC3:AC31 AD3:AD34 AE3:AE29 AF3:AF34 AG3:AG29 AH3:AH34 AI3:AI29 AJ3:AJ34 AK3:AK29 AL3:AL34 AM3:AM29 AN3:AN34 AO3:AO29 AP3:AP34 AQ3:AQ29 AR3:AR34 AS3:AS29 AT3:AT34 W7 W16 W21 W25 W29 AC33:AC34 AE33:AE34 AG33:AG34 AI33:AI34 AK33:AK34 AM33:AM34 AO33:AO34 AQ33:AQ34 AS33:AS34">
    <cfRule type="cellIs" dxfId="3" priority="3" operator="between">
      <formula>7.800001</formula>
      <formula>8.3</formula>
    </cfRule>
  </conditionalFormatting>
  <conditionalFormatting sqref="C3:C29 D3:D32 E3:E29 F3:F32 I3:I29 J3:J32 K3:K29 L3:L32 M3:M29 N3:N32 O3:O29 P3:P32 Q3:Q29 R3:R32 S3:S29 T3:T32 U3:U29 V3:V32 W3 X3:X32 Y3:Y29 Z3:Z32 AA3:AA29 AB3:AB34 AC3:AC31 AD3:AD34 AE3:AE29 AF3:AF34 AG3:AG29 AH3:AH34 AI3:AI29 AJ3:AJ34 AK3:AK29 AL3:AL34 AM3:AM29 AN3:AN34 AO3:AO29 AP3:AP34 AQ3:AQ29 AR3:AR34 AS3:AS29 AT3:AT34 W7 W16 W21 W25 W29 AC33:AC34 AE33:AE34 AG33:AG34 AI33:AI34 AK33:AK34 AM33:AM34 AO33:AO34 AQ33:AQ34 AS33:AS34">
    <cfRule type="cellIs" dxfId="4" priority="4" operator="between">
      <formula>6.50001</formula>
      <formula>7.1</formula>
    </cfRule>
  </conditionalFormatting>
  <conditionalFormatting sqref="C3:C29 D3:D32 E3:E29 F3:F32 I3:I29 J3:J32 K3:K29 L3:L32 M3:M29 N3:N32 O3:O29 P3:P32 Q3:Q29 R3:R32 S3:S29 T3:T32 U3:U29 V3:V32 W3 X3:X32 Y3:Y29 Z3:Z32 AA3:AA29 AB3:AB34 AC3:AC31 AD3:AD34 AE3:AE29 AF3:AF34 AG3:AG29 AH3:AH34 AI3:AI29 AJ3:AJ34 AK3:AK29 AL3:AL34 AM3:AM29 AN3:AN34 AO3:AO29 AP3:AP34 AQ3:AQ29 AR3:AR34 AS3:AS29 AT3:AT34 W7 W16 W21 W25 W29 AC33:AC34 AE33:AE34 AG33:AG34 AI33:AI34 AK33:AK34 AM33:AM34 AO33:AO34 AQ33:AQ34 AS33:AS34">
    <cfRule type="cellIs" dxfId="5" priority="5" operator="between">
      <formula>7.10001</formula>
      <formula>7.8</formula>
    </cfRule>
  </conditionalFormatting>
  <conditionalFormatting sqref="C3:C29 D3:D33 E3:E29 F3:F33 G3:I29 J3:J33 K3:K29 L3:L33 M3:M29 N3:N33 O3:O29 P3:P33 Q3:Q29 R3:R33 S3:S29 T3:T33 U3:U29 V3:V33 W3:W29 X3:X33 Y3:Y29 Z3:Z33 AA3:AA29 AB3:AB34 AC3:AC31 AD3:AD34 AE3:AE29 AF3:AF34 AG3:AG29 AH3:AH34 AI3:AI29 AJ3:AJ34 AK3:AK29 AL3:AL34 AM3:AM29 AN3:AN34 AO3:AO29 AP3:AP34 AQ3:AQ29 AR3:AR34 AS3:AS29 AT3:AT34 C33 E33 G33:I33 K33 M33 O33 Q33 S33 U33 W33 Y33 AA33 AC33:AC34 AE33:AE34 AG33:AG34 AI33:AI34 AK33:AK34 AM33:AM34 AO33:AO34 AQ33:AQ34 AS33:AS34">
    <cfRule type="cellIs" dxfId="6" priority="6" operator="between">
      <formula>0</formula>
      <formula>6.5</formula>
    </cfRule>
  </conditionalFormatting>
  <conditionalFormatting sqref="C3:C29 D3:D33 E3:E29 F3:F33 G3:I29 J3:J33 K3:M29 N3:N33 O3:S29 T3:T30 U3:Y29 Z3:Z30 AA3:AB29 AC3:AC31 AD3:AD34 AE3:AE29 AF3:AF33 AG3:AG29 AH3:AH33 AI3:AO29 AP3:AP33 AQ3:AQ29 AR3:AR33 AS3:AS29 AT3:AT33 C33 E33 G33:I33 K33:M33 O33:AC33 AE33 AG33 AI33:AO33 AQ33 AS33">
    <cfRule type="cellIs" dxfId="4" priority="7" operator="between">
      <formula>6.50001</formula>
      <formula>7.2</formula>
    </cfRule>
  </conditionalFormatting>
  <conditionalFormatting sqref="C3:C29 D3:D33 E3:E29 F3:F33 G3:I29 J3:J33 K3:M29 N3:N33 O3:S29 T3:T30 U3:Y29 Z3:Z30 AA3:AB29 AC3:AC31 AD3:AD34 AE3:AE29 AF3:AF33 AG3:AG29 AH3:AH33 AI3:AO29 AP3:AP33 AQ3:AQ29 AR3:AR33 AS3:AS29 AT3:AT33 C33 E33 G33:I33 K33:M33 O33:AC33 AE33 AG33 AI33:AO33 AQ33 AS33">
    <cfRule type="cellIs" dxfId="5" priority="8" operator="between">
      <formula>7.20001</formula>
      <formula>8</formula>
    </cfRule>
  </conditionalFormatting>
  <conditionalFormatting sqref="C3:C29 D3:D33 E3:E29 F3:F33 G3:I29 J3:J33 K3:M29 N3:N33 O3:S29 T3:T30 U3:Y29 Z3:Z30 AA3:AB29 AC3:AC31 AD3:AD34 AE3:AE29 AF3:AF33 AG3:AG29 AH3:AH33 AI3:AO29 AP3:AP33 AQ3:AQ29 AR3:AR33 AS3:AS29 AT3:AT33 C33 E33 G33:I33 K33:M33 O33:AC33 AE33 AG33 AI33:AO33 AQ33 AS33">
    <cfRule type="cellIs" dxfId="3" priority="9" operator="between">
      <formula>8.0001</formula>
      <formula>8.5</formula>
    </cfRule>
  </conditionalFormatting>
  <conditionalFormatting sqref="C3:C29 D3:D33 E3:E29 F3:F33 G3:I29 J3:J33 K3:M29 N3:N33 O3:S29 T3:T30 U3:Y29 Z3:Z30 AA3:AB29 AC3:AC31 AD3:AD34 AE3:AE29 AF3:AF33 AG3:AG29 AH3:AH33 AI3:AO29 AP3:AP33 AQ3:AQ29 AR3:AR33 AS3:AS29 AT3:AT33 C33 E33 G33:I33 K33:M33 O33:AC33 AE33 AG33 AI33:AO33 AQ33 AS33">
    <cfRule type="cellIs" dxfId="12" priority="10" operator="between">
      <formula>8.50001</formula>
      <formula>9</formula>
    </cfRule>
  </conditionalFormatting>
  <conditionalFormatting sqref="C3:C29 D3:D33 E3:E29 F3:F33 G3:I29 J3:J33 K3:M29 N3:N33 O3:S29 T3:T30 U3:Y29 Z3:Z30 AA3:AB29 AC3:AC31 AD3:AD34 AE3:AE29 AF3:AF33 AG3:AG29 AH3:AH33 AI3:AO29 AP3:AP33 AQ3:AQ29 AR3:AR33 AS3:AS29 AT3:AT33 C33 E33 G33:I33 K33:M33 O33:AC33 AE33 AG33 AI33:AO33 AQ33 AS33">
    <cfRule type="cellIs" dxfId="1" priority="11" operator="greaterThan">
      <formula>9</formula>
    </cfRule>
  </conditionalFormatting>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2" max="2" width="55.14"/>
  </cols>
  <sheetData>
    <row r="1" ht="45.0" customHeight="1">
      <c r="A1" s="765"/>
      <c r="B1" s="765"/>
      <c r="C1" s="779" t="s">
        <v>225</v>
      </c>
      <c r="D1" s="43"/>
      <c r="E1" s="779" t="s">
        <v>226</v>
      </c>
      <c r="F1" s="43"/>
      <c r="G1" s="779" t="s">
        <v>327</v>
      </c>
      <c r="H1" s="43"/>
      <c r="I1" s="779" t="s">
        <v>328</v>
      </c>
      <c r="J1" s="43"/>
      <c r="K1" s="779" t="s">
        <v>228</v>
      </c>
      <c r="L1" s="43"/>
      <c r="M1" s="779" t="s">
        <v>329</v>
      </c>
      <c r="N1" s="43"/>
      <c r="O1" s="779" t="s">
        <v>330</v>
      </c>
      <c r="P1" s="43"/>
      <c r="Q1" s="779" t="s">
        <v>230</v>
      </c>
      <c r="R1" s="43"/>
      <c r="S1" s="780" t="s">
        <v>331</v>
      </c>
      <c r="U1" s="780" t="s">
        <v>332</v>
      </c>
      <c r="W1" s="780" t="s">
        <v>333</v>
      </c>
      <c r="Y1" s="780" t="s">
        <v>334</v>
      </c>
      <c r="AA1" s="780" t="s">
        <v>335</v>
      </c>
      <c r="AC1" s="780" t="s">
        <v>271</v>
      </c>
      <c r="AE1" s="780" t="s">
        <v>272</v>
      </c>
      <c r="AG1" s="780" t="s">
        <v>273</v>
      </c>
      <c r="AI1" s="780" t="s">
        <v>274</v>
      </c>
      <c r="AK1" s="780" t="s">
        <v>275</v>
      </c>
      <c r="AM1" s="780" t="s">
        <v>276</v>
      </c>
      <c r="AO1" s="780" t="s">
        <v>336</v>
      </c>
      <c r="AQ1" s="779" t="s">
        <v>278</v>
      </c>
      <c r="AR1" s="44"/>
      <c r="AS1" s="779" t="s">
        <v>279</v>
      </c>
      <c r="AT1" s="44"/>
      <c r="AU1" s="780"/>
      <c r="AV1" s="780"/>
    </row>
    <row r="2" ht="45.0" customHeight="1">
      <c r="A2" s="765"/>
      <c r="B2" s="765"/>
      <c r="C2" s="741" t="s">
        <v>27</v>
      </c>
      <c r="D2" s="742" t="s">
        <v>4</v>
      </c>
      <c r="E2" s="741" t="s">
        <v>27</v>
      </c>
      <c r="F2" s="742" t="s">
        <v>4</v>
      </c>
      <c r="G2" s="741" t="s">
        <v>27</v>
      </c>
      <c r="H2" s="742" t="s">
        <v>4</v>
      </c>
      <c r="I2" s="741" t="s">
        <v>27</v>
      </c>
      <c r="J2" s="742" t="s">
        <v>4</v>
      </c>
      <c r="K2" s="741" t="s">
        <v>27</v>
      </c>
      <c r="L2" s="742" t="s">
        <v>4</v>
      </c>
      <c r="M2" s="741" t="s">
        <v>27</v>
      </c>
      <c r="N2" s="742" t="s">
        <v>4</v>
      </c>
      <c r="O2" s="741" t="s">
        <v>27</v>
      </c>
      <c r="P2" s="742" t="s">
        <v>4</v>
      </c>
      <c r="Q2" s="741" t="s">
        <v>27</v>
      </c>
      <c r="R2" s="742" t="s">
        <v>4</v>
      </c>
      <c r="S2" s="741" t="s">
        <v>27</v>
      </c>
      <c r="T2" s="742" t="s">
        <v>4</v>
      </c>
      <c r="U2" s="741" t="s">
        <v>27</v>
      </c>
      <c r="V2" s="742" t="s">
        <v>4</v>
      </c>
      <c r="W2" s="741" t="s">
        <v>27</v>
      </c>
      <c r="X2" s="742" t="s">
        <v>4</v>
      </c>
      <c r="Y2" s="741" t="s">
        <v>27</v>
      </c>
      <c r="Z2" s="742" t="s">
        <v>4</v>
      </c>
      <c r="AA2" s="741" t="s">
        <v>27</v>
      </c>
      <c r="AB2" s="742" t="s">
        <v>4</v>
      </c>
      <c r="AC2" s="741" t="s">
        <v>27</v>
      </c>
      <c r="AD2" s="742" t="s">
        <v>4</v>
      </c>
      <c r="AE2" s="741" t="s">
        <v>27</v>
      </c>
      <c r="AF2" s="742" t="s">
        <v>4</v>
      </c>
      <c r="AG2" s="741" t="s">
        <v>27</v>
      </c>
      <c r="AH2" s="742" t="s">
        <v>4</v>
      </c>
      <c r="AI2" s="741" t="s">
        <v>27</v>
      </c>
      <c r="AJ2" s="742" t="s">
        <v>4</v>
      </c>
      <c r="AK2" s="741" t="s">
        <v>27</v>
      </c>
      <c r="AL2" s="742" t="s">
        <v>4</v>
      </c>
      <c r="AM2" s="741" t="s">
        <v>27</v>
      </c>
      <c r="AN2" s="742" t="s">
        <v>4</v>
      </c>
      <c r="AO2" s="741" t="s">
        <v>27</v>
      </c>
      <c r="AP2" s="742" t="s">
        <v>4</v>
      </c>
      <c r="AQ2" s="741" t="s">
        <v>27</v>
      </c>
      <c r="AR2" s="742" t="s">
        <v>4</v>
      </c>
      <c r="AS2" s="741" t="s">
        <v>27</v>
      </c>
      <c r="AT2" s="742" t="s">
        <v>4</v>
      </c>
      <c r="AU2" s="780"/>
      <c r="AV2" s="780"/>
    </row>
    <row r="3" ht="45.0" customHeight="1">
      <c r="A3" s="815" t="s">
        <v>29</v>
      </c>
      <c r="B3" s="816" t="s">
        <v>337</v>
      </c>
      <c r="C3" s="844">
        <f>AVERAGE(D3:D6)</f>
        <v>8.659090909</v>
      </c>
      <c r="D3" s="857">
        <v>8.583333333333334</v>
      </c>
      <c r="E3" s="858">
        <f>AVERAGE(F3:F6)</f>
        <v>8.797727273</v>
      </c>
      <c r="F3" s="859">
        <v>8.772727272727273</v>
      </c>
      <c r="G3" s="858">
        <f>AVERAGE(H3:H6)</f>
        <v>7.791666667</v>
      </c>
      <c r="H3" s="860">
        <v>7.333333333333333</v>
      </c>
      <c r="I3" s="858">
        <f>AVERAGE(J3:J6)</f>
        <v>6.833333333</v>
      </c>
      <c r="J3" s="860">
        <v>6.333333333333333</v>
      </c>
      <c r="K3" s="844">
        <f>AVERAGE(L3:L6)</f>
        <v>7.803571429</v>
      </c>
      <c r="L3" s="861">
        <v>7.785714285714286</v>
      </c>
      <c r="M3" s="844">
        <f>AVERAGE(N3:N6)</f>
        <v>7.325</v>
      </c>
      <c r="N3" s="857">
        <v>7.5</v>
      </c>
      <c r="O3" s="844">
        <f>AVERAGE(P3:P6)</f>
        <v>8.057692308</v>
      </c>
      <c r="P3" s="862">
        <v>7.6923076923076925</v>
      </c>
      <c r="Q3" s="858">
        <f>AVERAGE(R3:R6)</f>
        <v>7.90741342</v>
      </c>
      <c r="R3" s="860">
        <v>7.909090909090909</v>
      </c>
      <c r="S3" s="844">
        <f>AVERAGE(T3:T6)</f>
        <v>8.636363636</v>
      </c>
      <c r="T3" s="861">
        <v>8.909090909090908</v>
      </c>
      <c r="U3" s="844">
        <f>AVERAGE(V3:V6)</f>
        <v>6.8</v>
      </c>
      <c r="V3" s="863">
        <v>6.1</v>
      </c>
      <c r="W3" s="844">
        <f>AVERAGE(X3:X6)</f>
        <v>7.690972222</v>
      </c>
      <c r="X3" s="861">
        <v>7.666666666666667</v>
      </c>
      <c r="Y3" s="844">
        <f>AVERAGE(Z3:Z6)</f>
        <v>7.944444444</v>
      </c>
      <c r="Z3" s="860">
        <v>7.111111111111111</v>
      </c>
      <c r="AA3" s="844">
        <f>AVERAGE(AB3:AB6)</f>
        <v>7.166666667</v>
      </c>
      <c r="AB3" s="860">
        <v>7.0</v>
      </c>
      <c r="AC3" s="844">
        <f>AVERAGE(AD3:AD6)</f>
        <v>7.795454545</v>
      </c>
      <c r="AD3" s="860">
        <v>7.2727272727272725</v>
      </c>
      <c r="AE3" s="844">
        <f>AVERAGE(AF3:AF6)</f>
        <v>8.545454545</v>
      </c>
      <c r="AF3" s="857">
        <v>8.454545454545455</v>
      </c>
      <c r="AG3" s="858">
        <f>AVERAGE(AH3:AH6)</f>
        <v>8.125</v>
      </c>
      <c r="AH3" s="863">
        <v>7.5</v>
      </c>
      <c r="AI3" s="844">
        <f>AVERAGE(AJ3:AJ6)</f>
        <v>8</v>
      </c>
      <c r="AJ3" s="863">
        <v>8.076923076923077</v>
      </c>
      <c r="AK3" s="844">
        <f>AVERAGE(AL3:AL6)</f>
        <v>7.590909091</v>
      </c>
      <c r="AL3" s="861">
        <v>7.181818181818182</v>
      </c>
      <c r="AM3" s="844">
        <f>AVERAGE(AN3:AN6)</f>
        <v>8</v>
      </c>
      <c r="AN3" s="861">
        <v>7.666666666666667</v>
      </c>
      <c r="AO3" s="844">
        <f>AVERAGE(AP3:AP6)</f>
        <v>8.40625</v>
      </c>
      <c r="AP3" s="860">
        <v>8.0</v>
      </c>
      <c r="AQ3" s="844">
        <f>AVERAGE(AR3:AR6)</f>
        <v>8.55</v>
      </c>
      <c r="AR3" s="860">
        <v>8.6</v>
      </c>
      <c r="AS3" s="844">
        <f>AVERAGE(AT3:AT6)</f>
        <v>7.7</v>
      </c>
      <c r="AT3" s="864">
        <v>6.8</v>
      </c>
      <c r="AU3" s="780"/>
      <c r="AV3" s="780"/>
    </row>
    <row r="4" ht="45.0" customHeight="1">
      <c r="B4" s="865" t="s">
        <v>194</v>
      </c>
      <c r="C4" s="829"/>
      <c r="D4" s="866">
        <v>8.0</v>
      </c>
      <c r="E4" s="338"/>
      <c r="F4" s="867">
        <v>8.318181818181818</v>
      </c>
      <c r="G4" s="338"/>
      <c r="H4" s="868">
        <v>8.166666666666666</v>
      </c>
      <c r="I4" s="338"/>
      <c r="J4" s="868">
        <v>7.5</v>
      </c>
      <c r="K4" s="829"/>
      <c r="L4" s="867">
        <v>7.142857142857143</v>
      </c>
      <c r="M4" s="829"/>
      <c r="N4" s="867">
        <v>6.3</v>
      </c>
      <c r="O4" s="829"/>
      <c r="P4" s="869">
        <v>8.615384615384615</v>
      </c>
      <c r="Q4" s="338"/>
      <c r="R4" s="866">
        <v>7.9523809523809526</v>
      </c>
      <c r="S4" s="829"/>
      <c r="T4" s="867">
        <v>8.272727272727273</v>
      </c>
      <c r="U4" s="829"/>
      <c r="V4" s="867">
        <v>6.9</v>
      </c>
      <c r="W4" s="829"/>
      <c r="X4" s="866">
        <v>7.5</v>
      </c>
      <c r="Y4" s="829"/>
      <c r="Z4" s="866">
        <v>8.444444444444445</v>
      </c>
      <c r="AA4" s="829"/>
      <c r="AB4" s="866">
        <v>6.444444444444445</v>
      </c>
      <c r="AC4" s="829"/>
      <c r="AD4" s="867">
        <v>8.272727272727273</v>
      </c>
      <c r="AE4" s="829"/>
      <c r="AF4" s="867">
        <v>8.363636363636363</v>
      </c>
      <c r="AG4" s="338"/>
      <c r="AH4" s="868">
        <v>8.625</v>
      </c>
      <c r="AI4" s="829"/>
      <c r="AJ4" s="867">
        <v>7.769230769230769</v>
      </c>
      <c r="AK4" s="829"/>
      <c r="AL4" s="867">
        <v>8.363636363636363</v>
      </c>
      <c r="AM4" s="829"/>
      <c r="AN4" s="869">
        <v>8.25</v>
      </c>
      <c r="AO4" s="829"/>
      <c r="AP4" s="866">
        <v>8.625</v>
      </c>
      <c r="AQ4" s="829"/>
      <c r="AR4" s="866">
        <v>8.2</v>
      </c>
      <c r="AS4" s="829"/>
      <c r="AT4" s="870">
        <v>7.8</v>
      </c>
      <c r="AU4" s="780"/>
      <c r="AV4" s="780"/>
    </row>
    <row r="5" ht="45.0" customHeight="1">
      <c r="B5" s="865" t="s">
        <v>195</v>
      </c>
      <c r="C5" s="829"/>
      <c r="D5" s="871">
        <v>9.416666666666666</v>
      </c>
      <c r="E5" s="338"/>
      <c r="F5" s="868">
        <v>9.5</v>
      </c>
      <c r="G5" s="338"/>
      <c r="H5" s="866">
        <v>7.0</v>
      </c>
      <c r="I5" s="338"/>
      <c r="J5" s="867">
        <v>6.166666666666667</v>
      </c>
      <c r="K5" s="829"/>
      <c r="L5" s="867">
        <v>7.785714285714286</v>
      </c>
      <c r="M5" s="829"/>
      <c r="N5" s="869">
        <v>7.8</v>
      </c>
      <c r="O5" s="829"/>
      <c r="P5" s="869">
        <v>7.538461538461538</v>
      </c>
      <c r="Q5" s="338"/>
      <c r="R5" s="869">
        <v>7.318181818181818</v>
      </c>
      <c r="S5" s="829"/>
      <c r="T5" s="867">
        <v>8.818181818181818</v>
      </c>
      <c r="U5" s="829"/>
      <c r="V5" s="869">
        <v>6.6</v>
      </c>
      <c r="W5" s="829"/>
      <c r="X5" s="868">
        <v>7.222222222222222</v>
      </c>
      <c r="Y5" s="829"/>
      <c r="Z5" s="867">
        <v>7.888888888888889</v>
      </c>
      <c r="AA5" s="829"/>
      <c r="AB5" s="867">
        <v>7.555555555555555</v>
      </c>
      <c r="AC5" s="829"/>
      <c r="AD5" s="868">
        <v>7.2727272727272725</v>
      </c>
      <c r="AE5" s="829"/>
      <c r="AF5" s="868">
        <v>8.909090909090908</v>
      </c>
      <c r="AG5" s="338"/>
      <c r="AH5" s="872">
        <v>8.0</v>
      </c>
      <c r="AI5" s="829"/>
      <c r="AJ5" s="872">
        <v>8.461538461538462</v>
      </c>
      <c r="AK5" s="829"/>
      <c r="AL5" s="869">
        <v>6.545454545454546</v>
      </c>
      <c r="AM5" s="829"/>
      <c r="AN5" s="872">
        <v>7.75</v>
      </c>
      <c r="AO5" s="829"/>
      <c r="AP5" s="866">
        <v>8.25</v>
      </c>
      <c r="AQ5" s="829"/>
      <c r="AR5" s="867">
        <v>8.6</v>
      </c>
      <c r="AS5" s="829"/>
      <c r="AT5" s="873">
        <v>8.2</v>
      </c>
      <c r="AU5" s="780"/>
      <c r="AV5" s="780"/>
    </row>
    <row r="6" ht="45.0" customHeight="1">
      <c r="B6" s="816" t="s">
        <v>280</v>
      </c>
      <c r="C6" s="838"/>
      <c r="D6" s="868">
        <v>8.636363636363637</v>
      </c>
      <c r="E6" s="547"/>
      <c r="F6" s="868">
        <v>8.6</v>
      </c>
      <c r="G6" s="547"/>
      <c r="H6" s="866">
        <v>8.666666666666666</v>
      </c>
      <c r="I6" s="547"/>
      <c r="J6" s="868">
        <v>7.333333333333333</v>
      </c>
      <c r="K6" s="838"/>
      <c r="L6" s="868">
        <v>8.5</v>
      </c>
      <c r="M6" s="838"/>
      <c r="N6" s="866">
        <v>7.7</v>
      </c>
      <c r="O6" s="838"/>
      <c r="P6" s="867">
        <v>8.384615384615385</v>
      </c>
      <c r="Q6" s="547"/>
      <c r="R6" s="866">
        <v>8.45</v>
      </c>
      <c r="S6" s="838"/>
      <c r="T6" s="868">
        <v>8.545454545454545</v>
      </c>
      <c r="U6" s="838"/>
      <c r="V6" s="867">
        <v>7.6</v>
      </c>
      <c r="W6" s="838"/>
      <c r="X6" s="866">
        <v>8.375</v>
      </c>
      <c r="Y6" s="838"/>
      <c r="Z6" s="868">
        <v>8.333333333333334</v>
      </c>
      <c r="AA6" s="838"/>
      <c r="AB6" s="868">
        <v>7.666666666666667</v>
      </c>
      <c r="AC6" s="838"/>
      <c r="AD6" s="866">
        <v>8.363636363636363</v>
      </c>
      <c r="AE6" s="838"/>
      <c r="AF6" s="868">
        <v>8.454545454545455</v>
      </c>
      <c r="AG6" s="547"/>
      <c r="AH6" s="868">
        <v>8.375</v>
      </c>
      <c r="AI6" s="838"/>
      <c r="AJ6" s="867">
        <v>7.6923076923076925</v>
      </c>
      <c r="AK6" s="838"/>
      <c r="AL6" s="868">
        <v>8.272727272727273</v>
      </c>
      <c r="AM6" s="838"/>
      <c r="AN6" s="869">
        <v>8.333333333333334</v>
      </c>
      <c r="AO6" s="838"/>
      <c r="AP6" s="866">
        <v>8.75</v>
      </c>
      <c r="AQ6" s="838"/>
      <c r="AR6" s="867">
        <v>8.8</v>
      </c>
      <c r="AS6" s="838"/>
      <c r="AT6" s="870">
        <v>8.0</v>
      </c>
      <c r="AU6" s="780"/>
      <c r="AV6" s="780"/>
    </row>
    <row r="7" ht="45.0" customHeight="1">
      <c r="A7" s="840" t="s">
        <v>35</v>
      </c>
      <c r="B7" s="874" t="s">
        <v>196</v>
      </c>
      <c r="C7" s="841">
        <f>AVERAGE(D7:D14)</f>
        <v>8.59280303</v>
      </c>
      <c r="D7" s="868">
        <v>8.909090909090908</v>
      </c>
      <c r="E7" s="858">
        <f>AVERAGE(F7:F14)</f>
        <v>8.669642857</v>
      </c>
      <c r="F7" s="868">
        <v>8.857142857142858</v>
      </c>
      <c r="G7" s="858">
        <f>AVERAGE(H7:H14)</f>
        <v>8.125</v>
      </c>
      <c r="H7" s="868">
        <v>8.5</v>
      </c>
      <c r="I7" s="858">
        <f>AVERAGE(J7:J14)</f>
        <v>7.416666667</v>
      </c>
      <c r="J7" s="871">
        <v>7.166666666666667</v>
      </c>
      <c r="K7" s="841">
        <f>AVERAGE(L7:L14)</f>
        <v>8.473214286</v>
      </c>
      <c r="L7" s="868">
        <v>9.071428571428571</v>
      </c>
      <c r="M7" s="841">
        <f>AVERAGE(N7:N14)</f>
        <v>7.2625</v>
      </c>
      <c r="N7" s="867">
        <v>7.9</v>
      </c>
      <c r="O7" s="841">
        <f>AVERAGE(P7:P14)</f>
        <v>7.461538462</v>
      </c>
      <c r="P7" s="867">
        <v>7.846153846153846</v>
      </c>
      <c r="Q7" s="858">
        <f>AVERAGE(R7:R14)</f>
        <v>8.641774892</v>
      </c>
      <c r="R7" s="868">
        <v>8.714285714285714</v>
      </c>
      <c r="S7" s="841">
        <f>AVERAGE(T7:T14)</f>
        <v>8.318181818</v>
      </c>
      <c r="T7" s="868">
        <v>9.0</v>
      </c>
      <c r="U7" s="841">
        <f>AVERAGE(V7:V14)</f>
        <v>7.1375</v>
      </c>
      <c r="V7" s="866">
        <v>7.1</v>
      </c>
      <c r="W7" s="841">
        <f>AVERAGE(X7:X14)</f>
        <v>8.140625</v>
      </c>
      <c r="X7" s="867">
        <v>8.11111111111111</v>
      </c>
      <c r="Y7" s="841">
        <f>AVERAGE(Z7:Z14)</f>
        <v>7.5</v>
      </c>
      <c r="Z7" s="868">
        <v>8.0</v>
      </c>
      <c r="AA7" s="841">
        <f>AVERAGE(AB7:AB14)</f>
        <v>7.486111111</v>
      </c>
      <c r="AB7" s="868">
        <v>7.222222222222222</v>
      </c>
      <c r="AC7" s="841">
        <f>AVERAGE(AD7:AD14)</f>
        <v>8.306818182</v>
      </c>
      <c r="AD7" s="866">
        <v>8.909090909090908</v>
      </c>
      <c r="AE7" s="841">
        <f>AVERAGE(AF7:AF14)</f>
        <v>8.477272727</v>
      </c>
      <c r="AF7" s="871">
        <v>8.909090909090908</v>
      </c>
      <c r="AG7" s="858">
        <f>AVERAGE(AH7:AH14)</f>
        <v>8.65625</v>
      </c>
      <c r="AH7" s="868">
        <v>8.875</v>
      </c>
      <c r="AI7" s="841">
        <f>AVERAGE(AJ7:AJ14)</f>
        <v>7.846153846</v>
      </c>
      <c r="AJ7" s="867">
        <v>7.6923076923076925</v>
      </c>
      <c r="AK7" s="841">
        <f>AVERAGE(AL7:AL14)</f>
        <v>8.227272727</v>
      </c>
      <c r="AL7" s="868">
        <v>8.454545454545455</v>
      </c>
      <c r="AM7" s="841">
        <f>AVERAGE(AN7:AN14)</f>
        <v>8.4375</v>
      </c>
      <c r="AN7" s="869">
        <v>9.083333333333334</v>
      </c>
      <c r="AO7" s="841">
        <f>AVERAGE(AP7:AP14)</f>
        <v>8.15625</v>
      </c>
      <c r="AP7" s="867">
        <v>8.25</v>
      </c>
      <c r="AQ7" s="841">
        <f>AVERAGE(AR7:AR14)</f>
        <v>8.5375</v>
      </c>
      <c r="AR7" s="867">
        <v>8.8</v>
      </c>
      <c r="AS7" s="841">
        <f>AVERAGE(AT7:AT14)</f>
        <v>7.9625</v>
      </c>
      <c r="AT7" s="870">
        <v>8.3</v>
      </c>
      <c r="AU7" s="780"/>
      <c r="AV7" s="780"/>
    </row>
    <row r="8" ht="45.0" customHeight="1">
      <c r="B8" s="875" t="s">
        <v>338</v>
      </c>
      <c r="C8" s="829"/>
      <c r="D8" s="868">
        <v>8.833333333333334</v>
      </c>
      <c r="E8" s="338"/>
      <c r="F8" s="868">
        <v>8.954545454545455</v>
      </c>
      <c r="G8" s="338"/>
      <c r="H8" s="866">
        <v>7.833333333333333</v>
      </c>
      <c r="I8" s="338"/>
      <c r="J8" s="868">
        <v>6.833333333333333</v>
      </c>
      <c r="K8" s="829"/>
      <c r="L8" s="868">
        <v>8.357142857142858</v>
      </c>
      <c r="M8" s="829"/>
      <c r="N8" s="866">
        <v>6.9</v>
      </c>
      <c r="O8" s="829"/>
      <c r="P8" s="869">
        <v>7.461538461538462</v>
      </c>
      <c r="Q8" s="338"/>
      <c r="R8" s="868">
        <v>8.954545454545455</v>
      </c>
      <c r="S8" s="829"/>
      <c r="T8" s="868">
        <v>8.545454545454545</v>
      </c>
      <c r="U8" s="829"/>
      <c r="V8" s="867">
        <v>7.6</v>
      </c>
      <c r="W8" s="829"/>
      <c r="X8" s="867">
        <v>8.11111111111111</v>
      </c>
      <c r="Y8" s="829"/>
      <c r="Z8" s="868">
        <v>6.888888888888889</v>
      </c>
      <c r="AA8" s="829"/>
      <c r="AB8" s="868">
        <v>7.222222222222222</v>
      </c>
      <c r="AC8" s="829"/>
      <c r="AD8" s="866">
        <v>8.181818181818182</v>
      </c>
      <c r="AE8" s="829"/>
      <c r="AF8" s="871">
        <v>8.727272727272727</v>
      </c>
      <c r="AG8" s="338"/>
      <c r="AH8" s="868">
        <v>8.375</v>
      </c>
      <c r="AI8" s="829"/>
      <c r="AJ8" s="866">
        <v>7.923076923076923</v>
      </c>
      <c r="AK8" s="829"/>
      <c r="AL8" s="868">
        <v>8.545454545454545</v>
      </c>
      <c r="AM8" s="829"/>
      <c r="AN8" s="869">
        <v>9.0</v>
      </c>
      <c r="AO8" s="829"/>
      <c r="AP8" s="866">
        <v>8.25</v>
      </c>
      <c r="AQ8" s="829"/>
      <c r="AR8" s="867">
        <v>9.0</v>
      </c>
      <c r="AS8" s="829"/>
      <c r="AT8" s="876">
        <v>8.0</v>
      </c>
      <c r="AU8" s="780"/>
      <c r="AV8" s="780"/>
    </row>
    <row r="9" ht="45.0" customHeight="1">
      <c r="B9" s="874" t="s">
        <v>198</v>
      </c>
      <c r="C9" s="829"/>
      <c r="D9" s="868">
        <v>8.416666666666666</v>
      </c>
      <c r="E9" s="338"/>
      <c r="F9" s="866">
        <v>8.761904761904763</v>
      </c>
      <c r="G9" s="338"/>
      <c r="H9" s="869">
        <v>8.5</v>
      </c>
      <c r="I9" s="338"/>
      <c r="J9" s="868">
        <v>7.833333333333333</v>
      </c>
      <c r="K9" s="829"/>
      <c r="L9" s="867">
        <v>8.428571428571429</v>
      </c>
      <c r="M9" s="829"/>
      <c r="N9" s="869">
        <v>8.4</v>
      </c>
      <c r="O9" s="829"/>
      <c r="P9" s="867">
        <v>8.538461538461538</v>
      </c>
      <c r="Q9" s="338"/>
      <c r="R9" s="867">
        <v>8.666666666666666</v>
      </c>
      <c r="S9" s="829"/>
      <c r="T9" s="867">
        <v>8.545454545454545</v>
      </c>
      <c r="U9" s="829"/>
      <c r="V9" s="866">
        <v>7.7</v>
      </c>
      <c r="W9" s="829"/>
      <c r="X9" s="866">
        <v>8.444444444444445</v>
      </c>
      <c r="Y9" s="829"/>
      <c r="Z9" s="871">
        <v>8.444444444444445</v>
      </c>
      <c r="AA9" s="829"/>
      <c r="AB9" s="871">
        <v>8.333333333333334</v>
      </c>
      <c r="AC9" s="829"/>
      <c r="AD9" s="866">
        <v>8.545454545454545</v>
      </c>
      <c r="AE9" s="829"/>
      <c r="AF9" s="871">
        <v>8.727272727272727</v>
      </c>
      <c r="AG9" s="338"/>
      <c r="AH9" s="867">
        <v>9.0</v>
      </c>
      <c r="AI9" s="829"/>
      <c r="AJ9" s="867">
        <v>8.076923076923077</v>
      </c>
      <c r="AK9" s="829"/>
      <c r="AL9" s="866">
        <v>8.454545454545455</v>
      </c>
      <c r="AM9" s="829"/>
      <c r="AN9" s="868">
        <v>8.166666666666666</v>
      </c>
      <c r="AO9" s="829"/>
      <c r="AP9" s="867">
        <v>8.5</v>
      </c>
      <c r="AQ9" s="829"/>
      <c r="AR9" s="866">
        <v>8.6</v>
      </c>
      <c r="AS9" s="829"/>
      <c r="AT9" s="876">
        <v>8.4</v>
      </c>
      <c r="AU9" s="780"/>
      <c r="AV9" s="780"/>
    </row>
    <row r="10" ht="45.0" customHeight="1">
      <c r="B10" s="874" t="s">
        <v>199</v>
      </c>
      <c r="C10" s="829"/>
      <c r="D10" s="866">
        <v>8.583333333333334</v>
      </c>
      <c r="E10" s="338"/>
      <c r="F10" s="868">
        <v>8.590909090909092</v>
      </c>
      <c r="G10" s="338"/>
      <c r="H10" s="867">
        <v>8.666666666666666</v>
      </c>
      <c r="I10" s="338"/>
      <c r="J10" s="866">
        <v>7.166666666666667</v>
      </c>
      <c r="K10" s="829"/>
      <c r="L10" s="866">
        <v>8.071428571428571</v>
      </c>
      <c r="M10" s="829"/>
      <c r="N10" s="869">
        <v>7.6</v>
      </c>
      <c r="O10" s="829"/>
      <c r="P10" s="867">
        <v>7.230769230769231</v>
      </c>
      <c r="Q10" s="338"/>
      <c r="R10" s="868">
        <v>8.590909090909092</v>
      </c>
      <c r="S10" s="829"/>
      <c r="T10" s="866">
        <v>8.090909090909092</v>
      </c>
      <c r="U10" s="829"/>
      <c r="V10" s="866">
        <v>7.2</v>
      </c>
      <c r="W10" s="829"/>
      <c r="X10" s="867">
        <v>7.888888888888889</v>
      </c>
      <c r="Y10" s="829"/>
      <c r="Z10" s="868">
        <v>6.444444444444445</v>
      </c>
      <c r="AA10" s="829"/>
      <c r="AB10" s="868">
        <v>7.222222222222222</v>
      </c>
      <c r="AC10" s="829"/>
      <c r="AD10" s="866">
        <v>8.363636363636363</v>
      </c>
      <c r="AE10" s="829"/>
      <c r="AF10" s="866">
        <v>8.454545454545455</v>
      </c>
      <c r="AG10" s="338"/>
      <c r="AH10" s="867">
        <v>8.25</v>
      </c>
      <c r="AI10" s="829"/>
      <c r="AJ10" s="866">
        <v>7.769230769230769</v>
      </c>
      <c r="AK10" s="829"/>
      <c r="AL10" s="866">
        <v>8.090909090909092</v>
      </c>
      <c r="AM10" s="829"/>
      <c r="AN10" s="866">
        <v>8.333333333333334</v>
      </c>
      <c r="AO10" s="829"/>
      <c r="AP10" s="866">
        <v>8.25</v>
      </c>
      <c r="AQ10" s="829"/>
      <c r="AR10" s="867">
        <v>8.6</v>
      </c>
      <c r="AS10" s="829"/>
      <c r="AT10" s="876">
        <v>8.2</v>
      </c>
      <c r="AU10" s="780"/>
      <c r="AV10" s="780"/>
    </row>
    <row r="11" ht="45.0" customHeight="1">
      <c r="B11" s="874" t="s">
        <v>200</v>
      </c>
      <c r="C11" s="829"/>
      <c r="D11" s="868">
        <v>8.5</v>
      </c>
      <c r="E11" s="338"/>
      <c r="F11" s="868">
        <v>8.863636363636363</v>
      </c>
      <c r="G11" s="338"/>
      <c r="H11" s="872">
        <v>7.666666666666667</v>
      </c>
      <c r="I11" s="338"/>
      <c r="J11" s="871">
        <v>8.5</v>
      </c>
      <c r="K11" s="829"/>
      <c r="L11" s="866">
        <v>8.428571428571429</v>
      </c>
      <c r="M11" s="829"/>
      <c r="N11" s="867">
        <v>7.4</v>
      </c>
      <c r="O11" s="829"/>
      <c r="P11" s="867">
        <v>6.769230769230769</v>
      </c>
      <c r="Q11" s="338"/>
      <c r="R11" s="866">
        <v>8.636363636363637</v>
      </c>
      <c r="S11" s="829"/>
      <c r="T11" s="866">
        <v>8.363636363636363</v>
      </c>
      <c r="U11" s="829"/>
      <c r="V11" s="869">
        <v>6.7</v>
      </c>
      <c r="W11" s="829"/>
      <c r="X11" s="866">
        <v>8.11111111111111</v>
      </c>
      <c r="Y11" s="829"/>
      <c r="Z11" s="868">
        <v>8.11111111111111</v>
      </c>
      <c r="AA11" s="829"/>
      <c r="AB11" s="868">
        <v>7.666666666666667</v>
      </c>
      <c r="AC11" s="829"/>
      <c r="AD11" s="867">
        <v>8.272727272727273</v>
      </c>
      <c r="AE11" s="829"/>
      <c r="AF11" s="866">
        <v>8.545454545454545</v>
      </c>
      <c r="AG11" s="338"/>
      <c r="AH11" s="867">
        <v>9.0</v>
      </c>
      <c r="AI11" s="829"/>
      <c r="AJ11" s="866">
        <v>7.769230769230769</v>
      </c>
      <c r="AK11" s="829"/>
      <c r="AL11" s="867">
        <v>8.363636363636363</v>
      </c>
      <c r="AM11" s="829"/>
      <c r="AN11" s="867">
        <v>8.5</v>
      </c>
      <c r="AO11" s="829"/>
      <c r="AP11" s="866">
        <v>7.875</v>
      </c>
      <c r="AQ11" s="829"/>
      <c r="AR11" s="866">
        <v>8.4</v>
      </c>
      <c r="AS11" s="829"/>
      <c r="AT11" s="876">
        <v>8.0</v>
      </c>
      <c r="AU11" s="780"/>
      <c r="AV11" s="780"/>
    </row>
    <row r="12" ht="45.0" customHeight="1">
      <c r="B12" s="874" t="s">
        <v>201</v>
      </c>
      <c r="C12" s="829"/>
      <c r="D12" s="866">
        <v>8.166666666666666</v>
      </c>
      <c r="E12" s="338"/>
      <c r="F12" s="867">
        <v>8.227272727272727</v>
      </c>
      <c r="G12" s="338"/>
      <c r="H12" s="871">
        <v>7.666666666666667</v>
      </c>
      <c r="I12" s="338"/>
      <c r="J12" s="866">
        <v>7.833333333333333</v>
      </c>
      <c r="K12" s="829"/>
      <c r="L12" s="872">
        <v>8.142857142857142</v>
      </c>
      <c r="M12" s="829"/>
      <c r="N12" s="867">
        <v>6.0</v>
      </c>
      <c r="O12" s="829"/>
      <c r="P12" s="866">
        <v>7.461538461538462</v>
      </c>
      <c r="Q12" s="338"/>
      <c r="R12" s="872">
        <v>8.227272727272727</v>
      </c>
      <c r="S12" s="829"/>
      <c r="T12" s="872">
        <v>7.909090909090909</v>
      </c>
      <c r="U12" s="829"/>
      <c r="V12" s="867">
        <v>7.6</v>
      </c>
      <c r="W12" s="829"/>
      <c r="X12" s="867">
        <v>8.333333333333334</v>
      </c>
      <c r="Y12" s="829"/>
      <c r="Z12" s="866">
        <v>6.888888888888889</v>
      </c>
      <c r="AA12" s="829"/>
      <c r="AB12" s="866">
        <v>7.111111111111111</v>
      </c>
      <c r="AC12" s="829"/>
      <c r="AD12" s="867">
        <v>7.7272727272727275</v>
      </c>
      <c r="AE12" s="829"/>
      <c r="AF12" s="866">
        <v>8.090909090909092</v>
      </c>
      <c r="AG12" s="338"/>
      <c r="AH12" s="866">
        <v>8.875</v>
      </c>
      <c r="AI12" s="829"/>
      <c r="AJ12" s="867">
        <v>8.153846153846153</v>
      </c>
      <c r="AK12" s="829"/>
      <c r="AL12" s="867">
        <v>8.363636363636363</v>
      </c>
      <c r="AM12" s="829"/>
      <c r="AN12" s="872">
        <v>7.916666666666667</v>
      </c>
      <c r="AO12" s="829"/>
      <c r="AP12" s="869">
        <v>8.25</v>
      </c>
      <c r="AQ12" s="829"/>
      <c r="AR12" s="867">
        <v>7.9</v>
      </c>
      <c r="AS12" s="829"/>
      <c r="AT12" s="873">
        <v>7.3</v>
      </c>
      <c r="AU12" s="780"/>
      <c r="AV12" s="780"/>
    </row>
    <row r="13" ht="45.0" customHeight="1">
      <c r="B13" s="875" t="s">
        <v>235</v>
      </c>
      <c r="C13" s="829"/>
      <c r="D13" s="867">
        <v>8.75</v>
      </c>
      <c r="E13" s="338"/>
      <c r="F13" s="868">
        <v>8.863636363636363</v>
      </c>
      <c r="G13" s="338"/>
      <c r="H13" s="868">
        <v>7.833333333333333</v>
      </c>
      <c r="I13" s="338"/>
      <c r="J13" s="868">
        <v>7.666666666666667</v>
      </c>
      <c r="K13" s="829"/>
      <c r="L13" s="866">
        <v>8.428571428571429</v>
      </c>
      <c r="M13" s="829"/>
      <c r="N13" s="869">
        <v>6.3</v>
      </c>
      <c r="O13" s="829"/>
      <c r="P13" s="867">
        <v>6.384615384615385</v>
      </c>
      <c r="Q13" s="338"/>
      <c r="R13" s="868">
        <v>8.772727272727273</v>
      </c>
      <c r="S13" s="829"/>
      <c r="T13" s="866">
        <v>8.0</v>
      </c>
      <c r="U13" s="829"/>
      <c r="V13" s="867">
        <v>6.3</v>
      </c>
      <c r="W13" s="829"/>
      <c r="X13" s="867">
        <v>8.0</v>
      </c>
      <c r="Y13" s="829"/>
      <c r="Z13" s="867">
        <v>7.777777777777778</v>
      </c>
      <c r="AA13" s="829"/>
      <c r="AB13" s="867">
        <v>7.666666666666667</v>
      </c>
      <c r="AC13" s="829"/>
      <c r="AD13" s="868">
        <v>8.363636363636363</v>
      </c>
      <c r="AE13" s="829"/>
      <c r="AF13" s="868">
        <v>8.636363636363637</v>
      </c>
      <c r="AG13" s="338"/>
      <c r="AH13" s="866">
        <v>9.0</v>
      </c>
      <c r="AI13" s="829"/>
      <c r="AJ13" s="867">
        <v>7.846153846153846</v>
      </c>
      <c r="AK13" s="829"/>
      <c r="AL13" s="866">
        <v>8.0</v>
      </c>
      <c r="AM13" s="829"/>
      <c r="AN13" s="869">
        <v>8.666666666666666</v>
      </c>
      <c r="AO13" s="829"/>
      <c r="AP13" s="871">
        <v>8.25</v>
      </c>
      <c r="AQ13" s="829"/>
      <c r="AR13" s="867">
        <v>8.5</v>
      </c>
      <c r="AS13" s="829"/>
      <c r="AT13" s="876">
        <v>7.5</v>
      </c>
      <c r="AU13" s="780"/>
      <c r="AV13" s="780"/>
    </row>
    <row r="14" ht="45.0" customHeight="1">
      <c r="B14" s="875" t="s">
        <v>339</v>
      </c>
      <c r="C14" s="838"/>
      <c r="D14" s="868">
        <v>8.583333333333334</v>
      </c>
      <c r="E14" s="547"/>
      <c r="F14" s="866">
        <v>8.238095238095237</v>
      </c>
      <c r="G14" s="547"/>
      <c r="H14" s="869">
        <v>8.333333333333334</v>
      </c>
      <c r="I14" s="547"/>
      <c r="J14" s="871">
        <v>6.333333333333333</v>
      </c>
      <c r="K14" s="838"/>
      <c r="L14" s="868">
        <v>8.857142857142858</v>
      </c>
      <c r="M14" s="838"/>
      <c r="N14" s="869">
        <v>7.6</v>
      </c>
      <c r="O14" s="838"/>
      <c r="P14" s="869">
        <v>8.0</v>
      </c>
      <c r="Q14" s="547"/>
      <c r="R14" s="867">
        <v>8.571428571428571</v>
      </c>
      <c r="S14" s="838"/>
      <c r="T14" s="868">
        <v>8.090909090909092</v>
      </c>
      <c r="U14" s="838"/>
      <c r="V14" s="869">
        <v>6.9</v>
      </c>
      <c r="W14" s="838"/>
      <c r="X14" s="867">
        <v>8.125</v>
      </c>
      <c r="Y14" s="838"/>
      <c r="Z14" s="866">
        <v>7.444444444444445</v>
      </c>
      <c r="AA14" s="838"/>
      <c r="AB14" s="866">
        <v>7.444444444444445</v>
      </c>
      <c r="AC14" s="838"/>
      <c r="AD14" s="867">
        <v>8.090909090909092</v>
      </c>
      <c r="AE14" s="838"/>
      <c r="AF14" s="866">
        <v>7.7272727272727275</v>
      </c>
      <c r="AG14" s="547"/>
      <c r="AH14" s="866">
        <v>7.875</v>
      </c>
      <c r="AI14" s="838"/>
      <c r="AJ14" s="869">
        <v>7.538461538461538</v>
      </c>
      <c r="AK14" s="838"/>
      <c r="AL14" s="867">
        <v>7.545454545454546</v>
      </c>
      <c r="AM14" s="838"/>
      <c r="AN14" s="872">
        <v>7.833333333333333</v>
      </c>
      <c r="AO14" s="838"/>
      <c r="AP14" s="866">
        <v>7.625</v>
      </c>
      <c r="AQ14" s="838"/>
      <c r="AR14" s="867">
        <v>8.5</v>
      </c>
      <c r="AS14" s="838"/>
      <c r="AT14" s="877">
        <v>8.0</v>
      </c>
      <c r="AU14" s="780"/>
      <c r="AV14" s="780"/>
    </row>
    <row r="15" ht="45.0" customHeight="1">
      <c r="A15" s="850" t="s">
        <v>42</v>
      </c>
      <c r="B15" s="878" t="s">
        <v>41</v>
      </c>
      <c r="C15" s="845">
        <f>AVERAGE(D15:D19)</f>
        <v>8.716666667</v>
      </c>
      <c r="D15" s="871">
        <v>9.166666666666666</v>
      </c>
      <c r="E15" s="858">
        <f>AVERAGE(F15:F19)</f>
        <v>8.709090909</v>
      </c>
      <c r="F15" s="868">
        <v>9.181818181818182</v>
      </c>
      <c r="G15" s="858">
        <f>AVERAGE(H15:H19)</f>
        <v>7.966666667</v>
      </c>
      <c r="H15" s="867">
        <v>7.666666666666667</v>
      </c>
      <c r="I15" s="858">
        <f>AVERAGE(J15:J19)</f>
        <v>6.833333333</v>
      </c>
      <c r="J15" s="868">
        <v>6.333333333333333</v>
      </c>
      <c r="K15" s="845">
        <f>AVERAGE(L15:L19)</f>
        <v>8.342857143</v>
      </c>
      <c r="L15" s="866">
        <v>8.642857142857142</v>
      </c>
      <c r="M15" s="845">
        <f>AVERAGE(N15:N19)</f>
        <v>7.1</v>
      </c>
      <c r="N15" s="869">
        <v>6.5</v>
      </c>
      <c r="O15" s="845">
        <f>AVERAGE(P15:P19)</f>
        <v>7.723076923</v>
      </c>
      <c r="P15" s="872">
        <v>7.538461538461538</v>
      </c>
      <c r="Q15" s="858">
        <f>AVERAGE(R15:R19)</f>
        <v>8.581818182</v>
      </c>
      <c r="R15" s="868">
        <v>8.681818181818182</v>
      </c>
      <c r="S15" s="845">
        <f>AVERAGE(T15:T19)</f>
        <v>8.363636364</v>
      </c>
      <c r="T15" s="866">
        <v>8.545454545454545</v>
      </c>
      <c r="U15" s="845">
        <f>AVERAGE(V15:V19)</f>
        <v>6.98</v>
      </c>
      <c r="V15" s="869">
        <v>6.1</v>
      </c>
      <c r="W15" s="845">
        <f>AVERAGE(X15:X19)</f>
        <v>7.761111111</v>
      </c>
      <c r="X15" s="867">
        <v>7.555555555555555</v>
      </c>
      <c r="Y15" s="845">
        <f>AVERAGE(Z15:Z19)</f>
        <v>7.266666667</v>
      </c>
      <c r="Z15" s="868">
        <v>7.222222222222222</v>
      </c>
      <c r="AA15" s="845">
        <f>AVERAGE(AB15:AB19)</f>
        <v>7.216666667</v>
      </c>
      <c r="AB15" s="868">
        <v>6.75</v>
      </c>
      <c r="AC15" s="845">
        <f>AVERAGE(AD15:AD19)</f>
        <v>8.109090909</v>
      </c>
      <c r="AD15" s="866">
        <v>8.727272727272727</v>
      </c>
      <c r="AE15" s="845">
        <f>AVERAGE(AF15:AF19)</f>
        <v>8.26</v>
      </c>
      <c r="AF15" s="871">
        <v>8.636363636363637</v>
      </c>
      <c r="AG15" s="858">
        <f>AVERAGE(AH15:AH19)</f>
        <v>8.525</v>
      </c>
      <c r="AH15" s="867">
        <v>8.75</v>
      </c>
      <c r="AI15" s="845">
        <f>AVERAGE(AJ15:AJ19)</f>
        <v>7.8</v>
      </c>
      <c r="AJ15" s="869">
        <v>7.3076923076923075</v>
      </c>
      <c r="AK15" s="845">
        <f>AVERAGE(AL15:AL19)</f>
        <v>8.036363636</v>
      </c>
      <c r="AL15" s="866">
        <v>8.272727272727273</v>
      </c>
      <c r="AM15" s="845">
        <f>AVERAGE(AN15:AN19)</f>
        <v>8.366666667</v>
      </c>
      <c r="AN15" s="872">
        <v>8.666666666666666</v>
      </c>
      <c r="AO15" s="845">
        <f>AVERAGE(AP15:AP19)</f>
        <v>7.875</v>
      </c>
      <c r="AP15" s="867">
        <v>7.875</v>
      </c>
      <c r="AQ15" s="845">
        <f>AVERAGE(AR15:AR19)</f>
        <v>8.38</v>
      </c>
      <c r="AR15" s="867">
        <v>8.7</v>
      </c>
      <c r="AS15" s="845">
        <f>AVERAGE(AT15:AT19)</f>
        <v>7.9</v>
      </c>
      <c r="AT15" s="877">
        <v>7.6</v>
      </c>
      <c r="AU15" s="780"/>
      <c r="AV15" s="780"/>
    </row>
    <row r="16" ht="45.0" customHeight="1">
      <c r="B16" s="879" t="s">
        <v>203</v>
      </c>
      <c r="C16" s="829"/>
      <c r="D16" s="868">
        <v>8.833333333333334</v>
      </c>
      <c r="E16" s="338"/>
      <c r="F16" s="868">
        <v>8.545454545454545</v>
      </c>
      <c r="G16" s="338"/>
      <c r="H16" s="867">
        <v>8.166666666666666</v>
      </c>
      <c r="I16" s="338"/>
      <c r="J16" s="868">
        <v>6.666666666666667</v>
      </c>
      <c r="K16" s="829"/>
      <c r="L16" s="866">
        <v>8.214285714285714</v>
      </c>
      <c r="M16" s="829"/>
      <c r="N16" s="867">
        <v>7.5</v>
      </c>
      <c r="O16" s="829"/>
      <c r="P16" s="872">
        <v>8.0</v>
      </c>
      <c r="Q16" s="338"/>
      <c r="R16" s="868">
        <v>8.318181818181818</v>
      </c>
      <c r="S16" s="829"/>
      <c r="T16" s="866">
        <v>8.454545454545455</v>
      </c>
      <c r="U16" s="829"/>
      <c r="V16" s="869">
        <v>7.3</v>
      </c>
      <c r="W16" s="829"/>
      <c r="X16" s="867">
        <v>7.888888888888889</v>
      </c>
      <c r="Y16" s="829"/>
      <c r="Z16" s="866">
        <v>7.0</v>
      </c>
      <c r="AA16" s="829"/>
      <c r="AB16" s="866">
        <v>7.333333333333333</v>
      </c>
      <c r="AC16" s="829"/>
      <c r="AD16" s="866">
        <v>8.090909090909092</v>
      </c>
      <c r="AE16" s="829"/>
      <c r="AF16" s="866">
        <v>7.818181818181818</v>
      </c>
      <c r="AG16" s="338"/>
      <c r="AH16" s="867">
        <v>8.25</v>
      </c>
      <c r="AI16" s="829"/>
      <c r="AJ16" s="869">
        <v>7.769230769230769</v>
      </c>
      <c r="AK16" s="829"/>
      <c r="AL16" s="866">
        <v>8.363636363636363</v>
      </c>
      <c r="AM16" s="829"/>
      <c r="AN16" s="869">
        <v>8.333333333333334</v>
      </c>
      <c r="AO16" s="829"/>
      <c r="AP16" s="867">
        <v>7.625</v>
      </c>
      <c r="AQ16" s="829"/>
      <c r="AR16" s="867">
        <v>7.9</v>
      </c>
      <c r="AS16" s="829"/>
      <c r="AT16" s="877">
        <v>8.2</v>
      </c>
      <c r="AU16" s="780"/>
      <c r="AV16" s="780"/>
    </row>
    <row r="17" ht="45.0" customHeight="1">
      <c r="B17" s="879" t="s">
        <v>204</v>
      </c>
      <c r="C17" s="829"/>
      <c r="D17" s="868">
        <v>8.25</v>
      </c>
      <c r="E17" s="338"/>
      <c r="F17" s="872">
        <v>8.181818181818182</v>
      </c>
      <c r="G17" s="338"/>
      <c r="H17" s="867">
        <v>8.333333333333334</v>
      </c>
      <c r="I17" s="338"/>
      <c r="J17" s="868">
        <v>8.166666666666666</v>
      </c>
      <c r="K17" s="829"/>
      <c r="L17" s="867">
        <v>7.142857142857143</v>
      </c>
      <c r="M17" s="829"/>
      <c r="N17" s="867">
        <v>7.1</v>
      </c>
      <c r="O17" s="829"/>
      <c r="P17" s="867">
        <v>8.076923076923077</v>
      </c>
      <c r="Q17" s="338"/>
      <c r="R17" s="868">
        <v>8.090909090909092</v>
      </c>
      <c r="S17" s="829"/>
      <c r="T17" s="867">
        <v>8.272727272727273</v>
      </c>
      <c r="U17" s="829"/>
      <c r="V17" s="867">
        <v>7.6</v>
      </c>
      <c r="W17" s="829"/>
      <c r="X17" s="866">
        <v>7.25</v>
      </c>
      <c r="Y17" s="829"/>
      <c r="Z17" s="866">
        <v>8.333333333333334</v>
      </c>
      <c r="AA17" s="829"/>
      <c r="AB17" s="866">
        <v>7.111111111111111</v>
      </c>
      <c r="AC17" s="829"/>
      <c r="AD17" s="866">
        <v>8.0</v>
      </c>
      <c r="AE17" s="829"/>
      <c r="AF17" s="867">
        <v>8.3</v>
      </c>
      <c r="AG17" s="338"/>
      <c r="AH17" s="866">
        <v>8.75</v>
      </c>
      <c r="AI17" s="829"/>
      <c r="AJ17" s="868">
        <v>8.461538461538462</v>
      </c>
      <c r="AK17" s="829"/>
      <c r="AL17" s="867">
        <v>8.363636363636363</v>
      </c>
      <c r="AM17" s="829"/>
      <c r="AN17" s="866">
        <v>7.916666666666667</v>
      </c>
      <c r="AO17" s="829"/>
      <c r="AP17" s="868">
        <v>8.375</v>
      </c>
      <c r="AQ17" s="829"/>
      <c r="AR17" s="867">
        <v>8.3</v>
      </c>
      <c r="AS17" s="829"/>
      <c r="AT17" s="880">
        <v>7.9</v>
      </c>
      <c r="AU17" s="780"/>
      <c r="AV17" s="780"/>
    </row>
    <row r="18" ht="45.0" customHeight="1">
      <c r="B18" s="879" t="s">
        <v>205</v>
      </c>
      <c r="C18" s="829"/>
      <c r="D18" s="868">
        <v>8.75</v>
      </c>
      <c r="E18" s="338"/>
      <c r="F18" s="868">
        <v>8.772727272727273</v>
      </c>
      <c r="G18" s="338"/>
      <c r="H18" s="869">
        <v>8.166666666666666</v>
      </c>
      <c r="I18" s="338"/>
      <c r="J18" s="868">
        <v>6.166666666666667</v>
      </c>
      <c r="K18" s="829"/>
      <c r="L18" s="866">
        <v>9.142857142857142</v>
      </c>
      <c r="M18" s="829"/>
      <c r="N18" s="867">
        <v>7.1</v>
      </c>
      <c r="O18" s="829"/>
      <c r="P18" s="869">
        <v>7.3076923076923075</v>
      </c>
      <c r="Q18" s="338"/>
      <c r="R18" s="868">
        <v>9.0</v>
      </c>
      <c r="S18" s="829"/>
      <c r="T18" s="866">
        <v>8.090909090909092</v>
      </c>
      <c r="U18" s="829"/>
      <c r="V18" s="869">
        <v>6.6</v>
      </c>
      <c r="W18" s="829"/>
      <c r="X18" s="869">
        <v>7.888888888888889</v>
      </c>
      <c r="Y18" s="829"/>
      <c r="Z18" s="866">
        <v>7.0</v>
      </c>
      <c r="AA18" s="829"/>
      <c r="AB18" s="866">
        <v>7.444444444444445</v>
      </c>
      <c r="AC18" s="829"/>
      <c r="AD18" s="868">
        <v>7.454545454545454</v>
      </c>
      <c r="AE18" s="829"/>
      <c r="AF18" s="868">
        <v>8.0</v>
      </c>
      <c r="AG18" s="338"/>
      <c r="AH18" s="872">
        <v>7.75</v>
      </c>
      <c r="AI18" s="829"/>
      <c r="AJ18" s="872">
        <v>8.076923076923077</v>
      </c>
      <c r="AK18" s="829"/>
      <c r="AL18" s="868">
        <v>7.363636363636363</v>
      </c>
      <c r="AM18" s="829"/>
      <c r="AN18" s="869">
        <v>8.416666666666666</v>
      </c>
      <c r="AO18" s="829"/>
      <c r="AP18" s="867">
        <v>7.5</v>
      </c>
      <c r="AQ18" s="829"/>
      <c r="AR18" s="867">
        <v>8.8</v>
      </c>
      <c r="AS18" s="829"/>
      <c r="AT18" s="877">
        <v>7.9</v>
      </c>
      <c r="AU18" s="780"/>
      <c r="AV18" s="780"/>
    </row>
    <row r="19" ht="45.0" customHeight="1">
      <c r="B19" s="879" t="s">
        <v>206</v>
      </c>
      <c r="C19" s="838"/>
      <c r="D19" s="868">
        <v>8.583333333333334</v>
      </c>
      <c r="E19" s="547"/>
      <c r="F19" s="868">
        <v>8.863636363636363</v>
      </c>
      <c r="G19" s="547"/>
      <c r="H19" s="867">
        <v>7.5</v>
      </c>
      <c r="I19" s="547"/>
      <c r="J19" s="868">
        <v>6.833333333333333</v>
      </c>
      <c r="K19" s="838"/>
      <c r="L19" s="868">
        <v>8.571428571428571</v>
      </c>
      <c r="M19" s="838"/>
      <c r="N19" s="866">
        <v>7.3</v>
      </c>
      <c r="O19" s="838"/>
      <c r="P19" s="869">
        <v>7.6923076923076925</v>
      </c>
      <c r="Q19" s="547"/>
      <c r="R19" s="866">
        <v>8.818181818181818</v>
      </c>
      <c r="S19" s="838"/>
      <c r="T19" s="868">
        <v>8.454545454545455</v>
      </c>
      <c r="U19" s="838"/>
      <c r="V19" s="869">
        <v>7.3</v>
      </c>
      <c r="W19" s="838"/>
      <c r="X19" s="867">
        <v>8.222222222222221</v>
      </c>
      <c r="Y19" s="838"/>
      <c r="Z19" s="868">
        <v>6.777777777777778</v>
      </c>
      <c r="AA19" s="838"/>
      <c r="AB19" s="868">
        <v>7.444444444444445</v>
      </c>
      <c r="AC19" s="838"/>
      <c r="AD19" s="868">
        <v>8.272727272727273</v>
      </c>
      <c r="AE19" s="838"/>
      <c r="AF19" s="868">
        <v>8.545454545454545</v>
      </c>
      <c r="AG19" s="547"/>
      <c r="AH19" s="867">
        <v>9.125</v>
      </c>
      <c r="AI19" s="838"/>
      <c r="AJ19" s="869">
        <v>7.384615384615385</v>
      </c>
      <c r="AK19" s="838"/>
      <c r="AL19" s="866">
        <v>7.818181818181818</v>
      </c>
      <c r="AM19" s="838"/>
      <c r="AN19" s="872">
        <v>8.5</v>
      </c>
      <c r="AO19" s="838"/>
      <c r="AP19" s="867">
        <v>8.0</v>
      </c>
      <c r="AQ19" s="838"/>
      <c r="AR19" s="867">
        <v>8.2</v>
      </c>
      <c r="AS19" s="838"/>
      <c r="AT19" s="870">
        <v>7.9</v>
      </c>
      <c r="AU19" s="780"/>
      <c r="AV19" s="780"/>
    </row>
    <row r="20" ht="45.0" customHeight="1">
      <c r="A20" s="852" t="s">
        <v>49</v>
      </c>
      <c r="B20" s="881" t="s">
        <v>207</v>
      </c>
      <c r="C20" s="841">
        <f>AVERAGE(D20:D23)</f>
        <v>8.770833333</v>
      </c>
      <c r="D20" s="868">
        <v>8.833333333333334</v>
      </c>
      <c r="E20" s="858">
        <f>AVERAGE(F20:F23)</f>
        <v>8.488636364</v>
      </c>
      <c r="F20" s="871">
        <v>8.681818181818182</v>
      </c>
      <c r="G20" s="858">
        <f>AVERAGE(H20:H23)</f>
        <v>8.75</v>
      </c>
      <c r="H20" s="868">
        <v>9.0</v>
      </c>
      <c r="I20" s="858">
        <f>AVERAGE(J20:J23)</f>
        <v>7.291666667</v>
      </c>
      <c r="J20" s="868">
        <v>7.666666666666667</v>
      </c>
      <c r="K20" s="841">
        <f>AVERAGE(L20:L23)</f>
        <v>7.75</v>
      </c>
      <c r="L20" s="866">
        <v>8.0</v>
      </c>
      <c r="M20" s="841">
        <f>AVERAGE(N20:N23)</f>
        <v>7.025</v>
      </c>
      <c r="N20" s="868">
        <v>7.1</v>
      </c>
      <c r="O20" s="841">
        <f>AVERAGE(P20:P23)</f>
        <v>8.480769231</v>
      </c>
      <c r="P20" s="869">
        <v>8.76923076923077</v>
      </c>
      <c r="Q20" s="858">
        <f>AVERAGE(R20:R23)</f>
        <v>7.909090909</v>
      </c>
      <c r="R20" s="871">
        <v>8.181818181818182</v>
      </c>
      <c r="S20" s="841">
        <f>AVERAGE(T20:T23)</f>
        <v>8.5</v>
      </c>
      <c r="T20" s="866">
        <v>8.818181818181818</v>
      </c>
      <c r="U20" s="841">
        <f>AVERAGE(V20:V23)</f>
        <v>6.375</v>
      </c>
      <c r="V20" s="867">
        <v>6.5</v>
      </c>
      <c r="W20" s="841">
        <f>AVERAGE(X20:X23)</f>
        <v>8</v>
      </c>
      <c r="X20" s="866">
        <v>8.333333333333334</v>
      </c>
      <c r="Y20" s="841">
        <f>AVERAGE(Z20:Z23)</f>
        <v>7.888888889</v>
      </c>
      <c r="Z20" s="868">
        <v>7.888888888888889</v>
      </c>
      <c r="AA20" s="841">
        <f>AVERAGE(AB20:AB23)</f>
        <v>8.083333333</v>
      </c>
      <c r="AB20" s="868">
        <v>8.666666666666666</v>
      </c>
      <c r="AC20" s="841">
        <f>AVERAGE(AD20:AD23)</f>
        <v>8.159090909</v>
      </c>
      <c r="AD20" s="868">
        <v>8.272727272727273</v>
      </c>
      <c r="AE20" s="841">
        <f>AVERAGE(AF20:AF23)</f>
        <v>8.522727273</v>
      </c>
      <c r="AF20" s="868">
        <v>8.545454545454545</v>
      </c>
      <c r="AG20" s="858">
        <f>AVERAGE(AH20:AH23)</f>
        <v>8.65625</v>
      </c>
      <c r="AH20" s="866">
        <v>8.75</v>
      </c>
      <c r="AI20" s="841">
        <f>AVERAGE(AJ20:AJ23)</f>
        <v>8.307692308</v>
      </c>
      <c r="AJ20" s="867">
        <v>8.461538461538462</v>
      </c>
      <c r="AK20" s="841">
        <f>AVERAGE(AL20:AL23)</f>
        <v>8.409090909</v>
      </c>
      <c r="AL20" s="867">
        <v>8.727272727272727</v>
      </c>
      <c r="AM20" s="841">
        <f>AVERAGE(AN20:AN23)</f>
        <v>8.166666667</v>
      </c>
      <c r="AN20" s="867">
        <v>8.416666666666666</v>
      </c>
      <c r="AO20" s="841">
        <f>AVERAGE(AP20:AP23)</f>
        <v>8.4375</v>
      </c>
      <c r="AP20" s="866">
        <v>8.625</v>
      </c>
      <c r="AQ20" s="841">
        <f>AVERAGE(AR20:AR23)</f>
        <v>8.25</v>
      </c>
      <c r="AR20" s="867">
        <v>8.5</v>
      </c>
      <c r="AS20" s="841">
        <f>AVERAGE(AT20:AT23)</f>
        <v>8.325</v>
      </c>
      <c r="AT20" s="870">
        <v>8.7</v>
      </c>
      <c r="AU20" s="780"/>
      <c r="AV20" s="780"/>
    </row>
    <row r="21" ht="45.0" customHeight="1">
      <c r="B21" s="881" t="s">
        <v>208</v>
      </c>
      <c r="C21" s="829"/>
      <c r="D21" s="868">
        <v>8.5</v>
      </c>
      <c r="E21" s="338"/>
      <c r="F21" s="867">
        <v>7.681818181818182</v>
      </c>
      <c r="G21" s="338"/>
      <c r="H21" s="868">
        <v>8.166666666666666</v>
      </c>
      <c r="I21" s="338"/>
      <c r="J21" s="868">
        <v>8.5</v>
      </c>
      <c r="K21" s="829"/>
      <c r="L21" s="866">
        <v>7.785714285714286</v>
      </c>
      <c r="M21" s="829"/>
      <c r="N21" s="867">
        <v>7.1</v>
      </c>
      <c r="O21" s="829"/>
      <c r="P21" s="866">
        <v>8.307692307692308</v>
      </c>
      <c r="Q21" s="338"/>
      <c r="R21" s="868">
        <v>7.7272727272727275</v>
      </c>
      <c r="S21" s="829"/>
      <c r="T21" s="866">
        <v>8.363636363636363</v>
      </c>
      <c r="U21" s="829"/>
      <c r="V21" s="867">
        <v>6.3</v>
      </c>
      <c r="W21" s="829"/>
      <c r="X21" s="868">
        <v>8.11111111111111</v>
      </c>
      <c r="Y21" s="829"/>
      <c r="Z21" s="868">
        <v>8.555555555555555</v>
      </c>
      <c r="AA21" s="829"/>
      <c r="AB21" s="868">
        <v>6.888888888888889</v>
      </c>
      <c r="AC21" s="829"/>
      <c r="AD21" s="869">
        <v>8.090909090909092</v>
      </c>
      <c r="AE21" s="829"/>
      <c r="AF21" s="867">
        <v>8.454545454545455</v>
      </c>
      <c r="AG21" s="338"/>
      <c r="AH21" s="868">
        <v>8.625</v>
      </c>
      <c r="AI21" s="829"/>
      <c r="AJ21" s="868">
        <v>8.076923076923077</v>
      </c>
      <c r="AK21" s="829"/>
      <c r="AL21" s="866">
        <v>8.636363636363637</v>
      </c>
      <c r="AM21" s="829"/>
      <c r="AN21" s="866">
        <v>7.833333333333333</v>
      </c>
      <c r="AO21" s="829"/>
      <c r="AP21" s="866">
        <v>8.0</v>
      </c>
      <c r="AQ21" s="829"/>
      <c r="AR21" s="868">
        <v>8.5</v>
      </c>
      <c r="AS21" s="829"/>
      <c r="AT21" s="880">
        <v>8.1</v>
      </c>
      <c r="AU21" s="780"/>
      <c r="AV21" s="780"/>
    </row>
    <row r="22" ht="45.0" customHeight="1">
      <c r="B22" s="882" t="s">
        <v>340</v>
      </c>
      <c r="C22" s="829"/>
      <c r="D22" s="868">
        <v>8.916666666666666</v>
      </c>
      <c r="E22" s="338"/>
      <c r="F22" s="871">
        <v>8.636363636363637</v>
      </c>
      <c r="G22" s="338"/>
      <c r="H22" s="868">
        <v>8.833333333333334</v>
      </c>
      <c r="I22" s="338"/>
      <c r="J22" s="868">
        <v>6.5</v>
      </c>
      <c r="K22" s="829"/>
      <c r="L22" s="866">
        <v>7.428571428571429</v>
      </c>
      <c r="M22" s="829"/>
      <c r="N22" s="868">
        <v>7.0</v>
      </c>
      <c r="O22" s="829"/>
      <c r="P22" s="867">
        <v>8.23076923076923</v>
      </c>
      <c r="Q22" s="338"/>
      <c r="R22" s="868">
        <v>7.818181818181818</v>
      </c>
      <c r="S22" s="829"/>
      <c r="T22" s="866">
        <v>8.090909090909092</v>
      </c>
      <c r="U22" s="829"/>
      <c r="V22" s="867">
        <v>6.6</v>
      </c>
      <c r="W22" s="829"/>
      <c r="X22" s="867">
        <v>7.555555555555555</v>
      </c>
      <c r="Y22" s="829"/>
      <c r="Z22" s="868">
        <v>7.111111111111111</v>
      </c>
      <c r="AA22" s="829"/>
      <c r="AB22" s="868">
        <v>8.333333333333334</v>
      </c>
      <c r="AC22" s="829"/>
      <c r="AD22" s="866">
        <v>7.909090909090909</v>
      </c>
      <c r="AE22" s="829"/>
      <c r="AF22" s="871">
        <v>8.272727272727273</v>
      </c>
      <c r="AG22" s="338"/>
      <c r="AH22" s="866">
        <v>8.5</v>
      </c>
      <c r="AI22" s="829"/>
      <c r="AJ22" s="867">
        <v>8.23076923076923</v>
      </c>
      <c r="AK22" s="829"/>
      <c r="AL22" s="867">
        <v>8.0</v>
      </c>
      <c r="AM22" s="829"/>
      <c r="AN22" s="866">
        <v>8.166666666666666</v>
      </c>
      <c r="AO22" s="829"/>
      <c r="AP22" s="866">
        <v>8.625</v>
      </c>
      <c r="AQ22" s="829"/>
      <c r="AR22" s="866">
        <v>7.7</v>
      </c>
      <c r="AS22" s="829"/>
      <c r="AT22" s="870">
        <v>8.1</v>
      </c>
      <c r="AU22" s="780"/>
      <c r="AV22" s="780"/>
    </row>
    <row r="23" ht="45.0" customHeight="1">
      <c r="B23" s="882" t="s">
        <v>341</v>
      </c>
      <c r="C23" s="838"/>
      <c r="D23" s="868">
        <v>8.833333333333334</v>
      </c>
      <c r="E23" s="547"/>
      <c r="F23" s="871">
        <v>8.954545454545455</v>
      </c>
      <c r="G23" s="547"/>
      <c r="H23" s="868">
        <v>9.0</v>
      </c>
      <c r="I23" s="547"/>
      <c r="J23" s="868">
        <v>6.5</v>
      </c>
      <c r="K23" s="838"/>
      <c r="L23" s="867">
        <v>7.785714285714286</v>
      </c>
      <c r="M23" s="838"/>
      <c r="N23" s="871">
        <v>6.9</v>
      </c>
      <c r="O23" s="838"/>
      <c r="P23" s="872">
        <v>8.615384615384615</v>
      </c>
      <c r="Q23" s="547"/>
      <c r="R23" s="871">
        <v>7.909090909090909</v>
      </c>
      <c r="S23" s="838"/>
      <c r="T23" s="867">
        <v>8.727272727272727</v>
      </c>
      <c r="U23" s="838"/>
      <c r="V23" s="867">
        <v>6.1</v>
      </c>
      <c r="W23" s="838"/>
      <c r="X23" s="867">
        <v>8.0</v>
      </c>
      <c r="Y23" s="838"/>
      <c r="Z23" s="868">
        <v>8.0</v>
      </c>
      <c r="AA23" s="838"/>
      <c r="AB23" s="868">
        <v>8.444444444444445</v>
      </c>
      <c r="AC23" s="838"/>
      <c r="AD23" s="868">
        <v>8.363636363636363</v>
      </c>
      <c r="AE23" s="838"/>
      <c r="AF23" s="871">
        <v>8.818181818181818</v>
      </c>
      <c r="AG23" s="547"/>
      <c r="AH23" s="868">
        <v>8.75</v>
      </c>
      <c r="AI23" s="838"/>
      <c r="AJ23" s="867">
        <v>8.461538461538462</v>
      </c>
      <c r="AK23" s="838"/>
      <c r="AL23" s="867">
        <v>8.272727272727273</v>
      </c>
      <c r="AM23" s="838"/>
      <c r="AN23" s="867">
        <v>8.25</v>
      </c>
      <c r="AO23" s="838"/>
      <c r="AP23" s="867">
        <v>8.5</v>
      </c>
      <c r="AQ23" s="838"/>
      <c r="AR23" s="866">
        <v>8.3</v>
      </c>
      <c r="AS23" s="838"/>
      <c r="AT23" s="877">
        <v>8.4</v>
      </c>
      <c r="AU23" s="780"/>
      <c r="AV23" s="780"/>
    </row>
    <row r="24" ht="45.0" customHeight="1">
      <c r="A24" s="855" t="s">
        <v>54</v>
      </c>
      <c r="B24" s="883" t="s">
        <v>239</v>
      </c>
      <c r="C24" s="841">
        <f>AVERAGE(D24:D27)</f>
        <v>8.25</v>
      </c>
      <c r="D24" s="866">
        <v>8.0</v>
      </c>
      <c r="E24" s="858">
        <f>AVERAGE(F24:F27)</f>
        <v>8.295454545</v>
      </c>
      <c r="F24" s="867">
        <v>8.227272727272727</v>
      </c>
      <c r="G24" s="858">
        <f>AVERAGE(H24:H27)</f>
        <v>8.166666667</v>
      </c>
      <c r="H24" s="867">
        <v>7.833333333333333</v>
      </c>
      <c r="I24" s="858">
        <f>AVERAGE(J24:J27)</f>
        <v>7.958333333</v>
      </c>
      <c r="J24" s="868">
        <v>7.333333333333333</v>
      </c>
      <c r="K24" s="841">
        <f>AVERAGE(L24:L27)</f>
        <v>7.982142857</v>
      </c>
      <c r="L24" s="867">
        <v>8.0</v>
      </c>
      <c r="M24" s="841">
        <f>AVERAGE(N24:N27)</f>
        <v>7.025</v>
      </c>
      <c r="N24" s="869">
        <v>6.9</v>
      </c>
      <c r="O24" s="841">
        <f>AVERAGE(P24:P27)</f>
        <v>8.115384615</v>
      </c>
      <c r="P24" s="867">
        <v>7.769230769230769</v>
      </c>
      <c r="Q24" s="858">
        <f>AVERAGE(R24:R27)</f>
        <v>8.318181818</v>
      </c>
      <c r="R24" s="866">
        <v>8.363636363636363</v>
      </c>
      <c r="S24" s="841">
        <f>AVERAGE(T24:T27)</f>
        <v>8.204545455</v>
      </c>
      <c r="T24" s="867">
        <v>8.090909090909092</v>
      </c>
      <c r="U24" s="841">
        <f>AVERAGE(V24:V27)</f>
        <v>7.2</v>
      </c>
      <c r="V24" s="867">
        <v>6.5</v>
      </c>
      <c r="W24" s="841">
        <f>AVERAGE(X24:X27)</f>
        <v>7.972222222</v>
      </c>
      <c r="X24" s="867">
        <v>7.777777777777778</v>
      </c>
      <c r="Y24" s="841">
        <f>AVERAGE(Z24:Z27)</f>
        <v>7.722222222</v>
      </c>
      <c r="Z24" s="866">
        <v>6.888888888888889</v>
      </c>
      <c r="AA24" s="841">
        <f>AVERAGE(AB24:AB27)</f>
        <v>7.111111111</v>
      </c>
      <c r="AB24" s="866">
        <v>6.777777777777778</v>
      </c>
      <c r="AC24" s="841">
        <f>AVERAGE(AD24:AD27)</f>
        <v>8.068181818</v>
      </c>
      <c r="AD24" s="867">
        <v>7.909090909090909</v>
      </c>
      <c r="AE24" s="841">
        <f>AVERAGE(AF24:AF27)</f>
        <v>8.25</v>
      </c>
      <c r="AF24" s="867">
        <v>8.090909090909092</v>
      </c>
      <c r="AG24" s="858">
        <f>AVERAGE(AH24:AH27)</f>
        <v>8.5</v>
      </c>
      <c r="AH24" s="866">
        <v>8.25</v>
      </c>
      <c r="AI24" s="841">
        <f>AVERAGE(AJ24:AJ27)</f>
        <v>7.75</v>
      </c>
      <c r="AJ24" s="867">
        <v>7.461538461538462</v>
      </c>
      <c r="AK24" s="841">
        <f>AVERAGE(AL24:AL27)</f>
        <v>8.068181818</v>
      </c>
      <c r="AL24" s="866">
        <v>8.0</v>
      </c>
      <c r="AM24" s="841">
        <f>AVERAGE(AN24:AN27)</f>
        <v>8.416666667</v>
      </c>
      <c r="AN24" s="867">
        <v>8.0</v>
      </c>
      <c r="AO24" s="841">
        <f>AVERAGE(AP24:AP27)</f>
        <v>8.21875</v>
      </c>
      <c r="AP24" s="866">
        <v>8.125</v>
      </c>
      <c r="AQ24" s="841">
        <f>AVERAGE(AR24:AR27)</f>
        <v>8.3</v>
      </c>
      <c r="AR24" s="867">
        <v>8.1</v>
      </c>
      <c r="AS24" s="841">
        <f>AVERAGE(AT24:AT27)</f>
        <v>7.75</v>
      </c>
      <c r="AT24" s="870">
        <v>7.5</v>
      </c>
      <c r="AU24" s="780"/>
      <c r="AV24" s="780"/>
    </row>
    <row r="25" ht="45.0" customHeight="1">
      <c r="B25" s="883" t="s">
        <v>240</v>
      </c>
      <c r="C25" s="829"/>
      <c r="D25" s="866">
        <v>8.333333333333334</v>
      </c>
      <c r="E25" s="338"/>
      <c r="F25" s="866">
        <v>8.363636363636363</v>
      </c>
      <c r="G25" s="338"/>
      <c r="H25" s="867">
        <v>8.333333333333334</v>
      </c>
      <c r="I25" s="338"/>
      <c r="J25" s="871">
        <v>7.666666666666667</v>
      </c>
      <c r="K25" s="829"/>
      <c r="L25" s="867">
        <v>7.928571428571429</v>
      </c>
      <c r="M25" s="829"/>
      <c r="N25" s="867">
        <v>7.0</v>
      </c>
      <c r="O25" s="829"/>
      <c r="P25" s="869">
        <v>8.076923076923077</v>
      </c>
      <c r="Q25" s="338"/>
      <c r="R25" s="866">
        <v>8.318181818181818</v>
      </c>
      <c r="S25" s="829"/>
      <c r="T25" s="867">
        <v>8.090909090909092</v>
      </c>
      <c r="U25" s="829"/>
      <c r="V25" s="866">
        <v>6.9</v>
      </c>
      <c r="W25" s="829"/>
      <c r="X25" s="869">
        <v>8.0</v>
      </c>
      <c r="Y25" s="829"/>
      <c r="Z25" s="866">
        <v>7.222222222222222</v>
      </c>
      <c r="AA25" s="829"/>
      <c r="AB25" s="866">
        <v>7.0</v>
      </c>
      <c r="AC25" s="829"/>
      <c r="AD25" s="866">
        <v>8.0</v>
      </c>
      <c r="AE25" s="829"/>
      <c r="AF25" s="868">
        <v>8.272727272727273</v>
      </c>
      <c r="AG25" s="338"/>
      <c r="AH25" s="869">
        <v>8.375</v>
      </c>
      <c r="AI25" s="829"/>
      <c r="AJ25" s="867">
        <v>7.6923076923076925</v>
      </c>
      <c r="AK25" s="829"/>
      <c r="AL25" s="868">
        <v>7.7272727272727275</v>
      </c>
      <c r="AM25" s="829"/>
      <c r="AN25" s="866">
        <v>9.333333333333334</v>
      </c>
      <c r="AO25" s="829"/>
      <c r="AP25" s="867">
        <v>8.0</v>
      </c>
      <c r="AQ25" s="829"/>
      <c r="AR25" s="867">
        <v>8.2</v>
      </c>
      <c r="AS25" s="829"/>
      <c r="AT25" s="877">
        <v>7.9</v>
      </c>
      <c r="AU25" s="780"/>
      <c r="AV25" s="780"/>
    </row>
    <row r="26" ht="45.0" customHeight="1">
      <c r="B26" s="883" t="s">
        <v>241</v>
      </c>
      <c r="C26" s="829"/>
      <c r="D26" s="868">
        <v>8.416666666666666</v>
      </c>
      <c r="E26" s="338"/>
      <c r="F26" s="867">
        <v>8.227272727272727</v>
      </c>
      <c r="G26" s="338"/>
      <c r="H26" s="868">
        <v>8.166666666666666</v>
      </c>
      <c r="I26" s="338"/>
      <c r="J26" s="868">
        <v>8.166666666666666</v>
      </c>
      <c r="K26" s="829"/>
      <c r="L26" s="867">
        <v>7.714285714285714</v>
      </c>
      <c r="M26" s="829"/>
      <c r="N26" s="867">
        <v>6.5</v>
      </c>
      <c r="O26" s="829"/>
      <c r="P26" s="867">
        <v>8.307692307692308</v>
      </c>
      <c r="Q26" s="338"/>
      <c r="R26" s="868">
        <v>8.181818181818182</v>
      </c>
      <c r="S26" s="829"/>
      <c r="T26" s="867">
        <v>8.181818181818182</v>
      </c>
      <c r="U26" s="829"/>
      <c r="V26" s="867">
        <v>7.8</v>
      </c>
      <c r="W26" s="829"/>
      <c r="X26" s="866">
        <v>8.0</v>
      </c>
      <c r="Y26" s="829"/>
      <c r="Z26" s="866">
        <v>8.555555555555555</v>
      </c>
      <c r="AA26" s="829"/>
      <c r="AB26" s="866">
        <v>6.666666666666667</v>
      </c>
      <c r="AC26" s="829"/>
      <c r="AD26" s="866">
        <v>8.0</v>
      </c>
      <c r="AE26" s="829"/>
      <c r="AF26" s="866">
        <v>8.545454545454545</v>
      </c>
      <c r="AG26" s="338"/>
      <c r="AH26" s="866">
        <v>9.0</v>
      </c>
      <c r="AI26" s="829"/>
      <c r="AJ26" s="866">
        <v>7.769230769230769</v>
      </c>
      <c r="AK26" s="829"/>
      <c r="AL26" s="867">
        <v>8.272727272727273</v>
      </c>
      <c r="AM26" s="829"/>
      <c r="AN26" s="867">
        <v>8.25</v>
      </c>
      <c r="AO26" s="829"/>
      <c r="AP26" s="866">
        <v>8.625</v>
      </c>
      <c r="AQ26" s="829"/>
      <c r="AR26" s="867">
        <v>8.3</v>
      </c>
      <c r="AS26" s="829"/>
      <c r="AT26" s="876">
        <v>7.5</v>
      </c>
      <c r="AU26" s="780"/>
      <c r="AV26" s="780"/>
    </row>
    <row r="27" ht="45.0" customHeight="1">
      <c r="B27" s="883" t="s">
        <v>282</v>
      </c>
      <c r="C27" s="838"/>
      <c r="D27" s="868">
        <v>8.25</v>
      </c>
      <c r="E27" s="547"/>
      <c r="F27" s="866">
        <v>8.363636363636363</v>
      </c>
      <c r="G27" s="547"/>
      <c r="H27" s="866">
        <v>8.333333333333334</v>
      </c>
      <c r="I27" s="547"/>
      <c r="J27" s="868">
        <v>8.666666666666666</v>
      </c>
      <c r="K27" s="838"/>
      <c r="L27" s="866">
        <v>8.285714285714286</v>
      </c>
      <c r="M27" s="838"/>
      <c r="N27" s="867">
        <v>7.7</v>
      </c>
      <c r="O27" s="838"/>
      <c r="P27" s="867">
        <v>8.307692307692308</v>
      </c>
      <c r="Q27" s="547"/>
      <c r="R27" s="868">
        <v>8.409090909090908</v>
      </c>
      <c r="S27" s="838"/>
      <c r="T27" s="866">
        <v>8.454545454545455</v>
      </c>
      <c r="U27" s="838"/>
      <c r="V27" s="866">
        <v>7.6</v>
      </c>
      <c r="W27" s="838"/>
      <c r="X27" s="866">
        <v>8.11111111111111</v>
      </c>
      <c r="Y27" s="838"/>
      <c r="Z27" s="866">
        <v>8.222222222222221</v>
      </c>
      <c r="AA27" s="838"/>
      <c r="AB27" s="866">
        <v>8.0</v>
      </c>
      <c r="AC27" s="838"/>
      <c r="AD27" s="866">
        <v>8.363636363636363</v>
      </c>
      <c r="AE27" s="838"/>
      <c r="AF27" s="866">
        <v>8.090909090909092</v>
      </c>
      <c r="AG27" s="547"/>
      <c r="AH27" s="866">
        <v>8.375</v>
      </c>
      <c r="AI27" s="838"/>
      <c r="AJ27" s="866">
        <v>8.076923076923077</v>
      </c>
      <c r="AK27" s="838"/>
      <c r="AL27" s="866">
        <v>8.272727272727273</v>
      </c>
      <c r="AM27" s="838"/>
      <c r="AN27" s="867">
        <v>8.083333333333334</v>
      </c>
      <c r="AO27" s="838"/>
      <c r="AP27" s="866">
        <v>8.125</v>
      </c>
      <c r="AQ27" s="838"/>
      <c r="AR27" s="867">
        <v>8.6</v>
      </c>
      <c r="AS27" s="838"/>
      <c r="AT27" s="876">
        <v>8.1</v>
      </c>
      <c r="AU27" s="780"/>
      <c r="AV27" s="780"/>
    </row>
    <row r="28" ht="45.0" customHeight="1">
      <c r="A28" s="856" t="s">
        <v>60</v>
      </c>
      <c r="B28" s="884" t="s">
        <v>242</v>
      </c>
      <c r="C28" s="841">
        <f>AVERAGE(D28:D31)</f>
        <v>8.5</v>
      </c>
      <c r="D28" s="866">
        <v>8.166666666666666</v>
      </c>
      <c r="E28" s="858">
        <f>AVERAGE(F28:F31)</f>
        <v>8.5</v>
      </c>
      <c r="F28" s="866">
        <v>8.363636363636363</v>
      </c>
      <c r="G28" s="858">
        <f>AVERAGE(H28:H31)</f>
        <v>8.208333333</v>
      </c>
      <c r="H28" s="867">
        <v>8.666666666666666</v>
      </c>
      <c r="I28" s="858">
        <f>AVERAGE(J28:J31)</f>
        <v>7.416666667</v>
      </c>
      <c r="J28" s="866">
        <v>6.833333333333333</v>
      </c>
      <c r="K28" s="841">
        <f>AVERAGE(L28:L31)</f>
        <v>8.071428571</v>
      </c>
      <c r="L28" s="867">
        <v>7.785714285714286</v>
      </c>
      <c r="M28" s="841">
        <f>AVERAGE(N28:N31)</f>
        <v>7.4</v>
      </c>
      <c r="N28" s="866">
        <v>7.5</v>
      </c>
      <c r="O28" s="841">
        <f>AVERAGE(P28:P31)</f>
        <v>7.923076923</v>
      </c>
      <c r="P28" s="869">
        <v>7.6923076923076925</v>
      </c>
      <c r="Q28" s="858">
        <f>AVERAGE(R28:R31)</f>
        <v>8.25</v>
      </c>
      <c r="R28" s="866">
        <v>7.590909090909091</v>
      </c>
      <c r="S28" s="841">
        <f>AVERAGE(T28:T31)</f>
        <v>8.159090909</v>
      </c>
      <c r="T28" s="867">
        <v>8.272727272727273</v>
      </c>
      <c r="U28" s="841">
        <f>AVERAGE(V28:V31)</f>
        <v>6.725</v>
      </c>
      <c r="V28" s="869">
        <v>6.5</v>
      </c>
      <c r="W28" s="841">
        <f>AVERAGE(X28:X31)</f>
        <v>7.611111111</v>
      </c>
      <c r="X28" s="866">
        <v>7.444444444444445</v>
      </c>
      <c r="Y28" s="841">
        <f>AVERAGE(Z28:Z31)</f>
        <v>7.555555556</v>
      </c>
      <c r="Z28" s="866">
        <v>7.444444444444445</v>
      </c>
      <c r="AA28" s="841">
        <f>AVERAGE(AB28:AB31)</f>
        <v>7.638888889</v>
      </c>
      <c r="AB28" s="866">
        <v>7.555555555555555</v>
      </c>
      <c r="AC28" s="841">
        <f>AVERAGE(AD28:AD31)</f>
        <v>8.295454545</v>
      </c>
      <c r="AD28" s="867">
        <v>8.090909090909092</v>
      </c>
      <c r="AE28" s="841">
        <f>AVERAGE(AF28:AF31)</f>
        <v>8.295454545</v>
      </c>
      <c r="AF28" s="868">
        <v>8.0</v>
      </c>
      <c r="AG28" s="858">
        <f>AVERAGE(AH28:AH31)</f>
        <v>8.4375</v>
      </c>
      <c r="AH28" s="869">
        <v>7.75</v>
      </c>
      <c r="AI28" s="841">
        <f>AVERAGE(AJ28:AJ31)</f>
        <v>8.038461538</v>
      </c>
      <c r="AJ28" s="869">
        <v>8.153846153846153</v>
      </c>
      <c r="AK28" s="841">
        <f>AVERAGE(AL28:AL31)</f>
        <v>8</v>
      </c>
      <c r="AL28" s="867">
        <v>7.2727272727272725</v>
      </c>
      <c r="AM28" s="841">
        <f>AVERAGE(AN28:AN31)</f>
        <v>8.229166667</v>
      </c>
      <c r="AN28" s="869">
        <v>8.0</v>
      </c>
      <c r="AO28" s="841">
        <f>AVERAGE(AP28:AP31)</f>
        <v>7.875</v>
      </c>
      <c r="AP28" s="868">
        <v>7.875</v>
      </c>
      <c r="AQ28" s="841">
        <f>AVERAGE(AR28:AR31)</f>
        <v>8.45</v>
      </c>
      <c r="AR28" s="867">
        <v>8.8</v>
      </c>
      <c r="AS28" s="841">
        <f>AVERAGE(AT28:AT31)</f>
        <v>7.825</v>
      </c>
      <c r="AT28" s="877">
        <v>7.2</v>
      </c>
      <c r="AU28" s="780"/>
      <c r="AV28" s="780"/>
    </row>
    <row r="29" ht="45.0" customHeight="1">
      <c r="B29" s="884" t="s">
        <v>243</v>
      </c>
      <c r="C29" s="829"/>
      <c r="D29" s="876">
        <v>8.833333333333334</v>
      </c>
      <c r="E29" s="338"/>
      <c r="F29" s="885">
        <v>8.681818181818182</v>
      </c>
      <c r="G29" s="338"/>
      <c r="H29" s="876">
        <v>8.166666666666666</v>
      </c>
      <c r="I29" s="338"/>
      <c r="J29" s="885">
        <v>7.833333333333333</v>
      </c>
      <c r="K29" s="829"/>
      <c r="L29" s="876">
        <v>8.214285714285714</v>
      </c>
      <c r="M29" s="829"/>
      <c r="N29" s="870">
        <v>7.5</v>
      </c>
      <c r="O29" s="829"/>
      <c r="P29" s="870">
        <v>7.846153846153846</v>
      </c>
      <c r="Q29" s="338"/>
      <c r="R29" s="885">
        <v>8.5</v>
      </c>
      <c r="S29" s="829"/>
      <c r="T29" s="876">
        <v>7.7272727272727275</v>
      </c>
      <c r="U29" s="829"/>
      <c r="V29" s="870">
        <v>6.8</v>
      </c>
      <c r="W29" s="829"/>
      <c r="X29" s="870">
        <v>7.777777777777778</v>
      </c>
      <c r="Y29" s="829"/>
      <c r="Z29" s="866">
        <v>7.666666666666667</v>
      </c>
      <c r="AA29" s="829"/>
      <c r="AB29" s="876">
        <v>7.555555555555555</v>
      </c>
      <c r="AC29" s="829"/>
      <c r="AD29" s="876">
        <v>8.454545454545455</v>
      </c>
      <c r="AE29" s="829"/>
      <c r="AF29" s="880">
        <v>8.454545454545455</v>
      </c>
      <c r="AG29" s="338"/>
      <c r="AH29" s="876">
        <v>8.875</v>
      </c>
      <c r="AI29" s="829"/>
      <c r="AJ29" s="870">
        <v>7.461538461538462</v>
      </c>
      <c r="AK29" s="829"/>
      <c r="AL29" s="876">
        <v>8.090909090909092</v>
      </c>
      <c r="AM29" s="829"/>
      <c r="AN29" s="870">
        <v>8.583333333333334</v>
      </c>
      <c r="AO29" s="829"/>
      <c r="AP29" s="876">
        <v>8.0</v>
      </c>
      <c r="AQ29" s="829"/>
      <c r="AR29" s="870">
        <v>8.6</v>
      </c>
      <c r="AS29" s="829"/>
      <c r="AT29" s="870">
        <v>8.0</v>
      </c>
      <c r="AU29" s="780"/>
      <c r="AV29" s="780"/>
    </row>
    <row r="30" ht="45.0" customHeight="1">
      <c r="B30" s="886" t="s">
        <v>216</v>
      </c>
      <c r="C30" s="829"/>
      <c r="D30" s="876">
        <v>8.166666666666666</v>
      </c>
      <c r="E30" s="338"/>
      <c r="F30" s="876">
        <v>7.7272727272727275</v>
      </c>
      <c r="G30" s="338"/>
      <c r="H30" s="876">
        <v>8.5</v>
      </c>
      <c r="I30" s="338"/>
      <c r="J30" s="880">
        <v>8.166666666666666</v>
      </c>
      <c r="K30" s="829"/>
      <c r="L30" s="876">
        <v>7.785714285714286</v>
      </c>
      <c r="M30" s="829"/>
      <c r="N30" s="870">
        <v>7.4</v>
      </c>
      <c r="O30" s="829"/>
      <c r="P30" s="870">
        <v>8.153846153846153</v>
      </c>
      <c r="Q30" s="338"/>
      <c r="R30" s="880">
        <v>7.909090909090909</v>
      </c>
      <c r="S30" s="829"/>
      <c r="T30" s="876">
        <v>8.090909090909092</v>
      </c>
      <c r="U30" s="829"/>
      <c r="V30" s="870">
        <v>6.9</v>
      </c>
      <c r="W30" s="829"/>
      <c r="X30" s="876">
        <v>8.0</v>
      </c>
      <c r="Y30" s="829"/>
      <c r="Z30" s="866">
        <v>8.0</v>
      </c>
      <c r="AA30" s="829"/>
      <c r="AB30" s="876">
        <v>8.333333333333334</v>
      </c>
      <c r="AC30" s="829"/>
      <c r="AD30" s="870">
        <v>8.090909090909092</v>
      </c>
      <c r="AE30" s="829"/>
      <c r="AF30" s="870">
        <v>8.0</v>
      </c>
      <c r="AG30" s="338"/>
      <c r="AH30" s="876">
        <v>8.375</v>
      </c>
      <c r="AI30" s="829"/>
      <c r="AJ30" s="876">
        <v>8.076923076923077</v>
      </c>
      <c r="AK30" s="829"/>
      <c r="AL30" s="870">
        <v>8.272727272727273</v>
      </c>
      <c r="AM30" s="829"/>
      <c r="AN30" s="876">
        <v>7.833333333333333</v>
      </c>
      <c r="AO30" s="829"/>
      <c r="AP30" s="880">
        <v>8.0</v>
      </c>
      <c r="AQ30" s="829"/>
      <c r="AR30" s="880">
        <v>8.2</v>
      </c>
      <c r="AS30" s="829"/>
      <c r="AT30" s="876">
        <v>8.2</v>
      </c>
      <c r="AU30" s="780"/>
      <c r="AV30" s="780"/>
    </row>
    <row r="31" ht="45.0" customHeight="1">
      <c r="A31" s="6"/>
      <c r="B31" s="887" t="s">
        <v>244</v>
      </c>
      <c r="C31" s="838"/>
      <c r="D31" s="880">
        <v>8.833333333333334</v>
      </c>
      <c r="E31" s="547"/>
      <c r="F31" s="885">
        <v>9.227272727272727</v>
      </c>
      <c r="G31" s="547"/>
      <c r="H31" s="870">
        <v>7.5</v>
      </c>
      <c r="I31" s="547"/>
      <c r="J31" s="885">
        <v>6.833333333333333</v>
      </c>
      <c r="K31" s="838"/>
      <c r="L31" s="880">
        <v>8.5</v>
      </c>
      <c r="M31" s="838"/>
      <c r="N31" s="876">
        <v>7.2</v>
      </c>
      <c r="O31" s="838"/>
      <c r="P31" s="877">
        <v>8.0</v>
      </c>
      <c r="Q31" s="547"/>
      <c r="R31" s="885">
        <v>9.0</v>
      </c>
      <c r="S31" s="838"/>
      <c r="T31" s="880">
        <v>8.545454545454545</v>
      </c>
      <c r="U31" s="838"/>
      <c r="V31" s="870">
        <v>6.7</v>
      </c>
      <c r="W31" s="838"/>
      <c r="X31" s="870">
        <v>7.222222222222222</v>
      </c>
      <c r="Y31" s="838"/>
      <c r="Z31" s="868">
        <v>7.111111111111111</v>
      </c>
      <c r="AA31" s="838"/>
      <c r="AB31" s="880">
        <v>7.111111111111111</v>
      </c>
      <c r="AC31" s="838"/>
      <c r="AD31" s="880">
        <v>8.545454545454545</v>
      </c>
      <c r="AE31" s="838"/>
      <c r="AF31" s="885">
        <v>8.727272727272727</v>
      </c>
      <c r="AG31" s="547"/>
      <c r="AH31" s="870">
        <v>8.75</v>
      </c>
      <c r="AI31" s="838"/>
      <c r="AJ31" s="877">
        <v>8.461538461538462</v>
      </c>
      <c r="AK31" s="838"/>
      <c r="AL31" s="880">
        <v>8.363636363636363</v>
      </c>
      <c r="AM31" s="838"/>
      <c r="AN31" s="870">
        <v>8.5</v>
      </c>
      <c r="AO31" s="838"/>
      <c r="AP31" s="870">
        <v>7.625</v>
      </c>
      <c r="AQ31" s="838"/>
      <c r="AR31" s="876">
        <v>8.2</v>
      </c>
      <c r="AS31" s="838"/>
      <c r="AT31" s="877">
        <v>7.9</v>
      </c>
      <c r="AU31" s="780"/>
      <c r="AV31" s="780"/>
    </row>
    <row r="32">
      <c r="A32" s="765"/>
      <c r="B32" s="765"/>
      <c r="C32" s="888" t="s">
        <v>188</v>
      </c>
      <c r="D32" s="767">
        <f>AVERAGE(D2:D31)</f>
        <v>8.587774295</v>
      </c>
      <c r="E32" s="811" t="s">
        <v>188</v>
      </c>
      <c r="F32" s="767">
        <f>AVERAGE(F2:F31)</f>
        <v>8.594133453</v>
      </c>
      <c r="G32" s="811" t="s">
        <v>188</v>
      </c>
      <c r="H32" s="800">
        <f>AVERAGE(H3:H31)</f>
        <v>8.155172414</v>
      </c>
      <c r="I32" s="811" t="s">
        <v>188</v>
      </c>
      <c r="J32" s="800">
        <f>AVERAGE(J3:J31)</f>
        <v>7.293103448</v>
      </c>
      <c r="K32" s="811" t="s">
        <v>188</v>
      </c>
      <c r="L32" s="798">
        <f>AVERAGE(L3:L31)</f>
        <v>8.13546798</v>
      </c>
      <c r="M32" s="811" t="s">
        <v>188</v>
      </c>
      <c r="N32" s="800">
        <f>AVERAGE(N3:N31)</f>
        <v>7.196551724</v>
      </c>
      <c r="O32" s="811" t="s">
        <v>188</v>
      </c>
      <c r="P32" s="798">
        <f>AVERAGE(P3:P31)</f>
        <v>7.883289125</v>
      </c>
      <c r="Q32" s="811" t="s">
        <v>188</v>
      </c>
      <c r="R32" s="798">
        <f>AVERAGE(R3:R31)</f>
        <v>8.330414987</v>
      </c>
      <c r="S32" s="811" t="s">
        <v>188</v>
      </c>
      <c r="T32" s="800">
        <f>AVERAGE(T3:T31)</f>
        <v>8.357366771</v>
      </c>
      <c r="U32" s="811" t="s">
        <v>188</v>
      </c>
      <c r="V32" s="799">
        <f>AVERAGE(V3:V31)</f>
        <v>6.910344828</v>
      </c>
      <c r="W32" s="811" t="s">
        <v>188</v>
      </c>
      <c r="X32" s="799">
        <f>AVERAGE(X3:X31)</f>
        <v>7.897509579</v>
      </c>
      <c r="Y32" s="811" t="s">
        <v>188</v>
      </c>
      <c r="Z32" s="800">
        <f>AVERAGE(Z3:Z31)</f>
        <v>7.61302682</v>
      </c>
      <c r="AA32" s="766" t="s">
        <v>188</v>
      </c>
      <c r="AB32" s="767">
        <f>AVERAGE(AB3:AB31)</f>
        <v>7.447318008</v>
      </c>
      <c r="AC32" s="766" t="s">
        <v>188</v>
      </c>
      <c r="AD32" s="767">
        <f>AVERAGE(AD3:AD31)</f>
        <v>8.147335423</v>
      </c>
      <c r="AE32" s="766" t="s">
        <v>188</v>
      </c>
      <c r="AF32" s="767">
        <f>AVERAGE(AF3:AF31)</f>
        <v>8.399059561</v>
      </c>
      <c r="AG32" s="766" t="s">
        <v>188</v>
      </c>
      <c r="AH32" s="767">
        <f>AVERAGE(AH3:AH31)</f>
        <v>8.50862069</v>
      </c>
      <c r="AI32" s="766" t="s">
        <v>188</v>
      </c>
      <c r="AJ32" s="767">
        <f>AVERAGE(AJ3:AJ31)</f>
        <v>7.936339523</v>
      </c>
      <c r="AK32" s="766" t="s">
        <v>188</v>
      </c>
      <c r="AL32" s="767">
        <f>AVERAGE(AL3:AL31)</f>
        <v>8.078369906</v>
      </c>
      <c r="AM32" s="766" t="s">
        <v>188</v>
      </c>
      <c r="AN32" s="767">
        <f>AVERAGE(AN3:AN31)</f>
        <v>8.295977011</v>
      </c>
      <c r="AO32" s="766" t="s">
        <v>188</v>
      </c>
      <c r="AP32" s="767">
        <f>AVERAGE(AP3:AP31)</f>
        <v>8.150862069</v>
      </c>
      <c r="AQ32" s="766" t="s">
        <v>188</v>
      </c>
      <c r="AR32" s="767">
        <f>AVERAGE(AR3:AR31)</f>
        <v>8.427586207</v>
      </c>
      <c r="AS32" s="766" t="s">
        <v>188</v>
      </c>
      <c r="AT32" s="767">
        <f>AVERAGE(AT3:AT31)</f>
        <v>7.917241379</v>
      </c>
      <c r="AU32" s="780"/>
      <c r="AV32" s="780"/>
    </row>
    <row r="33">
      <c r="A33" s="765"/>
      <c r="B33" s="765"/>
      <c r="C33" s="338"/>
      <c r="D33" s="768"/>
      <c r="E33" s="768"/>
      <c r="F33" s="768"/>
      <c r="G33" s="768"/>
      <c r="H33" s="768"/>
      <c r="I33" s="768"/>
      <c r="J33" s="768"/>
      <c r="K33" s="768"/>
      <c r="L33" s="768"/>
      <c r="M33" s="768"/>
      <c r="N33" s="768"/>
      <c r="O33" s="768"/>
      <c r="P33" s="768"/>
      <c r="Q33" s="768"/>
      <c r="R33" s="768"/>
      <c r="S33" s="768"/>
      <c r="T33" s="768"/>
      <c r="U33" s="768"/>
      <c r="V33" s="768"/>
      <c r="W33" s="768"/>
      <c r="X33" s="768"/>
      <c r="Y33" s="768"/>
      <c r="Z33" s="768"/>
      <c r="AA33" s="768"/>
      <c r="AB33" s="768"/>
      <c r="AC33" s="768"/>
      <c r="AD33" s="768"/>
      <c r="AE33" s="768"/>
      <c r="AF33" s="768"/>
      <c r="AG33" s="768"/>
      <c r="AH33" s="768"/>
      <c r="AI33" s="768"/>
      <c r="AJ33" s="768"/>
      <c r="AK33" s="768"/>
      <c r="AL33" s="768"/>
      <c r="AM33" s="768"/>
      <c r="AN33" s="768"/>
      <c r="AO33" s="768"/>
      <c r="AP33" s="768"/>
      <c r="AQ33" s="768"/>
      <c r="AR33" s="768"/>
      <c r="AS33" s="768"/>
      <c r="AT33" s="768"/>
      <c r="AU33" s="780"/>
      <c r="AV33" s="780"/>
    </row>
    <row r="34">
      <c r="A34" s="765"/>
      <c r="B34" s="765"/>
      <c r="C34" s="769"/>
      <c r="D34" s="769"/>
      <c r="E34" s="769"/>
      <c r="F34" s="770"/>
      <c r="G34" s="770"/>
      <c r="H34" s="770"/>
      <c r="I34" s="770"/>
      <c r="J34" s="770"/>
      <c r="K34" s="770"/>
      <c r="L34" s="770"/>
      <c r="M34" s="769"/>
      <c r="N34" s="769"/>
      <c r="O34" s="769"/>
      <c r="P34" s="769"/>
      <c r="Q34" s="769"/>
      <c r="R34" s="769"/>
      <c r="S34" s="769"/>
      <c r="T34" s="769"/>
      <c r="U34" s="769"/>
      <c r="V34" s="769"/>
      <c r="W34" s="769"/>
      <c r="X34" s="769"/>
      <c r="Y34" s="769"/>
      <c r="Z34" s="769"/>
      <c r="AA34" s="769"/>
      <c r="AB34" s="769"/>
      <c r="AC34" s="769"/>
      <c r="AD34" s="769"/>
      <c r="AE34" s="769"/>
      <c r="AF34" s="769"/>
      <c r="AG34" s="769"/>
      <c r="AH34" s="769"/>
      <c r="AI34" s="769"/>
      <c r="AJ34" s="769"/>
      <c r="AK34" s="769"/>
      <c r="AL34" s="769"/>
      <c r="AM34" s="769"/>
      <c r="AN34" s="769"/>
      <c r="AO34" s="769"/>
      <c r="AP34" s="769"/>
      <c r="AQ34" s="769"/>
      <c r="AR34" s="769"/>
      <c r="AS34" s="769"/>
      <c r="AT34" s="769"/>
      <c r="AU34" s="780"/>
      <c r="AV34" s="780"/>
    </row>
    <row r="35">
      <c r="A35" s="765"/>
      <c r="B35" s="771" t="s">
        <v>70</v>
      </c>
      <c r="C35" s="772" t="s">
        <v>342</v>
      </c>
      <c r="D35" s="773"/>
      <c r="E35" s="772" t="s">
        <v>343</v>
      </c>
      <c r="F35" s="773"/>
      <c r="G35" s="772" t="s">
        <v>344</v>
      </c>
      <c r="H35" s="812"/>
      <c r="I35" s="772" t="s">
        <v>345</v>
      </c>
      <c r="J35" s="773"/>
      <c r="K35" s="774" t="s">
        <v>346</v>
      </c>
      <c r="L35" s="775"/>
      <c r="M35" s="772" t="s">
        <v>347</v>
      </c>
      <c r="N35" s="773"/>
      <c r="O35" s="774" t="s">
        <v>348</v>
      </c>
      <c r="P35" s="775"/>
      <c r="Q35" s="774" t="s">
        <v>349</v>
      </c>
      <c r="R35" s="775"/>
      <c r="S35" s="774" t="s">
        <v>350</v>
      </c>
      <c r="T35" s="813"/>
      <c r="U35" s="774" t="s">
        <v>351</v>
      </c>
      <c r="V35" s="775"/>
      <c r="W35" s="772" t="s">
        <v>352</v>
      </c>
      <c r="X35" s="773"/>
      <c r="Y35" s="774" t="s">
        <v>353</v>
      </c>
      <c r="Z35" s="813"/>
      <c r="AA35" s="774" t="s">
        <v>354</v>
      </c>
      <c r="AB35" s="775"/>
      <c r="AC35" s="772" t="s">
        <v>355</v>
      </c>
      <c r="AD35" s="773"/>
      <c r="AE35" s="772" t="s">
        <v>356</v>
      </c>
      <c r="AF35" s="773"/>
      <c r="AG35" s="772" t="s">
        <v>357</v>
      </c>
      <c r="AH35" s="773"/>
      <c r="AI35" s="774" t="s">
        <v>358</v>
      </c>
      <c r="AJ35" s="775"/>
      <c r="AK35" s="772" t="s">
        <v>359</v>
      </c>
      <c r="AL35" s="812"/>
      <c r="AM35" s="772" t="s">
        <v>360</v>
      </c>
      <c r="AN35" s="812"/>
      <c r="AO35" s="772" t="s">
        <v>361</v>
      </c>
      <c r="AP35" s="773"/>
      <c r="AQ35" s="772" t="s">
        <v>362</v>
      </c>
      <c r="AR35" s="773"/>
      <c r="AS35" s="772" t="s">
        <v>363</v>
      </c>
      <c r="AT35" s="773"/>
      <c r="AU35" s="889"/>
      <c r="AV35" s="889"/>
    </row>
    <row r="36" ht="130.5" customHeight="1">
      <c r="A36" s="765"/>
      <c r="B36" s="776" t="s">
        <v>73</v>
      </c>
      <c r="C36" s="772" t="s">
        <v>364</v>
      </c>
      <c r="D36" s="773"/>
      <c r="E36" s="772" t="s">
        <v>365</v>
      </c>
      <c r="F36" s="773"/>
      <c r="G36" s="772" t="s">
        <v>366</v>
      </c>
      <c r="H36" s="812"/>
      <c r="I36" s="772" t="s">
        <v>367</v>
      </c>
      <c r="J36" s="773"/>
      <c r="K36" s="774" t="s">
        <v>368</v>
      </c>
      <c r="L36" s="775"/>
      <c r="M36" s="772" t="s">
        <v>369</v>
      </c>
      <c r="N36" s="773"/>
      <c r="O36" s="777" t="s">
        <v>370</v>
      </c>
      <c r="P36" s="748"/>
      <c r="Q36" s="777" t="s">
        <v>371</v>
      </c>
      <c r="R36" s="748"/>
      <c r="S36" s="777" t="s">
        <v>372</v>
      </c>
      <c r="T36" s="814"/>
      <c r="U36" s="777" t="s">
        <v>373</v>
      </c>
      <c r="V36" s="748"/>
      <c r="W36" s="772" t="s">
        <v>374</v>
      </c>
      <c r="X36" s="812"/>
      <c r="Y36" s="772" t="s">
        <v>375</v>
      </c>
      <c r="Z36" s="812"/>
      <c r="AA36" s="774" t="s">
        <v>376</v>
      </c>
      <c r="AB36" s="775"/>
      <c r="AC36" s="772" t="s">
        <v>377</v>
      </c>
      <c r="AD36" s="773"/>
      <c r="AE36" s="772" t="s">
        <v>378</v>
      </c>
      <c r="AF36" s="773"/>
      <c r="AG36" s="772" t="s">
        <v>379</v>
      </c>
      <c r="AH36" s="773"/>
      <c r="AI36" s="777" t="s">
        <v>380</v>
      </c>
      <c r="AJ36" s="748"/>
      <c r="AK36" s="772" t="s">
        <v>381</v>
      </c>
      <c r="AL36" s="812"/>
      <c r="AM36" s="772" t="s">
        <v>382</v>
      </c>
      <c r="AN36" s="812"/>
      <c r="AO36" s="772" t="s">
        <v>383</v>
      </c>
      <c r="AP36" s="773"/>
      <c r="AQ36" s="772" t="s">
        <v>384</v>
      </c>
      <c r="AR36" s="773"/>
      <c r="AS36" s="772" t="s">
        <v>385</v>
      </c>
      <c r="AT36" s="773"/>
      <c r="AU36" s="889"/>
      <c r="AV36" s="889"/>
    </row>
    <row r="37">
      <c r="A37" s="765"/>
      <c r="B37" s="765"/>
      <c r="C37" s="765"/>
      <c r="D37" s="765"/>
      <c r="E37" s="765"/>
      <c r="F37" s="765"/>
      <c r="G37" s="765"/>
      <c r="H37" s="765"/>
      <c r="I37" s="765"/>
      <c r="J37" s="765"/>
      <c r="K37" s="765"/>
      <c r="L37" s="765"/>
      <c r="M37" s="765"/>
      <c r="N37" s="765"/>
      <c r="O37" s="765"/>
      <c r="P37" s="765"/>
      <c r="Q37" s="765"/>
      <c r="R37" s="765"/>
      <c r="S37" s="765"/>
      <c r="T37" s="765"/>
      <c r="U37" s="765"/>
      <c r="V37" s="765"/>
      <c r="W37" s="765"/>
      <c r="X37" s="765"/>
      <c r="Y37" s="765"/>
      <c r="Z37" s="765"/>
      <c r="AA37" s="765"/>
      <c r="AB37" s="765"/>
      <c r="AC37" s="765"/>
      <c r="AD37" s="765"/>
      <c r="AE37" s="765"/>
      <c r="AF37" s="765"/>
      <c r="AG37" s="765"/>
      <c r="AH37" s="765"/>
      <c r="AI37" s="765"/>
      <c r="AJ37" s="765"/>
      <c r="AK37" s="765"/>
      <c r="AL37" s="765"/>
      <c r="AM37" s="765"/>
      <c r="AN37" s="765"/>
      <c r="AO37" s="765"/>
      <c r="AP37" s="765"/>
      <c r="AQ37" s="765"/>
      <c r="AR37" s="765"/>
      <c r="AS37" s="765"/>
      <c r="AT37" s="765"/>
      <c r="AU37" s="780"/>
      <c r="AV37" s="780"/>
    </row>
    <row r="38">
      <c r="A38" s="765"/>
      <c r="B38" s="765"/>
      <c r="C38" s="765"/>
      <c r="D38" s="765"/>
      <c r="E38" s="765"/>
      <c r="F38" s="765"/>
      <c r="G38" s="765"/>
      <c r="H38" s="765"/>
      <c r="I38" s="765"/>
      <c r="J38" s="765"/>
      <c r="K38" s="765"/>
      <c r="L38" s="765"/>
      <c r="M38" s="765"/>
      <c r="N38" s="765"/>
      <c r="O38" s="765"/>
      <c r="P38" s="765"/>
      <c r="Q38" s="765"/>
      <c r="R38" s="765"/>
      <c r="S38" s="765"/>
      <c r="T38" s="765"/>
      <c r="U38" s="765"/>
      <c r="V38" s="765"/>
      <c r="W38" s="765"/>
      <c r="X38" s="765"/>
      <c r="Y38" s="765"/>
      <c r="Z38" s="765"/>
      <c r="AA38" s="765"/>
      <c r="AB38" s="765"/>
      <c r="AC38" s="765"/>
      <c r="AD38" s="765"/>
      <c r="AE38" s="765"/>
      <c r="AF38" s="765"/>
      <c r="AG38" s="765"/>
      <c r="AH38" s="765"/>
      <c r="AI38" s="765"/>
      <c r="AJ38" s="765"/>
      <c r="AK38" s="765"/>
      <c r="AL38" s="765"/>
      <c r="AM38" s="765"/>
      <c r="AN38" s="765"/>
      <c r="AO38" s="765"/>
      <c r="AP38" s="765"/>
      <c r="AQ38" s="765"/>
      <c r="AR38" s="765"/>
      <c r="AS38" s="765"/>
      <c r="AT38" s="765"/>
      <c r="AU38" s="780"/>
      <c r="AV38" s="780"/>
    </row>
  </sheetData>
  <mergeCells count="248">
    <mergeCell ref="U3:U6"/>
    <mergeCell ref="U7:U14"/>
    <mergeCell ref="Y3:Y6"/>
    <mergeCell ref="Y7:Y14"/>
    <mergeCell ref="O3:O6"/>
    <mergeCell ref="S3:S6"/>
    <mergeCell ref="W3:W6"/>
    <mergeCell ref="AA3:AA6"/>
    <mergeCell ref="O7:O14"/>
    <mergeCell ref="S7:S14"/>
    <mergeCell ref="W7:W14"/>
    <mergeCell ref="AA7:AA14"/>
    <mergeCell ref="AI3:AI6"/>
    <mergeCell ref="AI7:AI14"/>
    <mergeCell ref="AM3:AM6"/>
    <mergeCell ref="AM7:AM14"/>
    <mergeCell ref="AC3:AC6"/>
    <mergeCell ref="AG3:AG6"/>
    <mergeCell ref="AK3:AK6"/>
    <mergeCell ref="AO3:AO6"/>
    <mergeCell ref="AC7:AC14"/>
    <mergeCell ref="AG7:AG14"/>
    <mergeCell ref="AK7:AK14"/>
    <mergeCell ref="AO7:AO14"/>
    <mergeCell ref="AE1:AF1"/>
    <mergeCell ref="AG1:AH1"/>
    <mergeCell ref="AI1:AJ1"/>
    <mergeCell ref="AK1:AL1"/>
    <mergeCell ref="AM1:AN1"/>
    <mergeCell ref="AO1:AP1"/>
    <mergeCell ref="AQ1:AR1"/>
    <mergeCell ref="AS1:AT1"/>
    <mergeCell ref="Q1:R1"/>
    <mergeCell ref="S1:T1"/>
    <mergeCell ref="U1:V1"/>
    <mergeCell ref="W1:X1"/>
    <mergeCell ref="Y1:Z1"/>
    <mergeCell ref="AA1:AB1"/>
    <mergeCell ref="AC1:AD1"/>
    <mergeCell ref="C1:D1"/>
    <mergeCell ref="E1:F1"/>
    <mergeCell ref="G1:H1"/>
    <mergeCell ref="I1:J1"/>
    <mergeCell ref="K1:L1"/>
    <mergeCell ref="M1:N1"/>
    <mergeCell ref="O1:P1"/>
    <mergeCell ref="AQ3:AQ6"/>
    <mergeCell ref="AS3:AS6"/>
    <mergeCell ref="AQ7:AQ14"/>
    <mergeCell ref="AS7:AS14"/>
    <mergeCell ref="C3:C6"/>
    <mergeCell ref="C7:C14"/>
    <mergeCell ref="Q3:Q6"/>
    <mergeCell ref="Q7:Q14"/>
    <mergeCell ref="AE3:AE6"/>
    <mergeCell ref="AE7:AE14"/>
    <mergeCell ref="U15:U19"/>
    <mergeCell ref="W15:W19"/>
    <mergeCell ref="Y15:Y19"/>
    <mergeCell ref="AA15:AA19"/>
    <mergeCell ref="AC15:AC19"/>
    <mergeCell ref="AE15:AE19"/>
    <mergeCell ref="AG15:AG19"/>
    <mergeCell ref="Q15:Q19"/>
    <mergeCell ref="Q20:Q23"/>
    <mergeCell ref="U20:U23"/>
    <mergeCell ref="W20:W23"/>
    <mergeCell ref="Y20:Y23"/>
    <mergeCell ref="AA20:AA23"/>
    <mergeCell ref="AC20:AC23"/>
    <mergeCell ref="K3:K6"/>
    <mergeCell ref="K7:K14"/>
    <mergeCell ref="K15:K19"/>
    <mergeCell ref="O15:O19"/>
    <mergeCell ref="S15:S19"/>
    <mergeCell ref="K20:K23"/>
    <mergeCell ref="O20:O23"/>
    <mergeCell ref="S20:S23"/>
    <mergeCell ref="M15:M19"/>
    <mergeCell ref="M20:M23"/>
    <mergeCell ref="K24:K27"/>
    <mergeCell ref="M24:M27"/>
    <mergeCell ref="O24:O27"/>
    <mergeCell ref="Q24:Q27"/>
    <mergeCell ref="S24:S27"/>
    <mergeCell ref="A7:A14"/>
    <mergeCell ref="A15:A19"/>
    <mergeCell ref="C15:C19"/>
    <mergeCell ref="E15:E19"/>
    <mergeCell ref="A20:A23"/>
    <mergeCell ref="E20:E23"/>
    <mergeCell ref="E24:E27"/>
    <mergeCell ref="C20:C23"/>
    <mergeCell ref="C24:C27"/>
    <mergeCell ref="C32:C33"/>
    <mergeCell ref="D32:D33"/>
    <mergeCell ref="E32:E33"/>
    <mergeCell ref="F32:F33"/>
    <mergeCell ref="G32:G33"/>
    <mergeCell ref="H32:H33"/>
    <mergeCell ref="I32:I33"/>
    <mergeCell ref="J32:J33"/>
    <mergeCell ref="K32:K33"/>
    <mergeCell ref="L32:L33"/>
    <mergeCell ref="M32:M33"/>
    <mergeCell ref="N32:N33"/>
    <mergeCell ref="O32:O33"/>
    <mergeCell ref="P32:P33"/>
    <mergeCell ref="Q32:Q33"/>
    <mergeCell ref="R32:R33"/>
    <mergeCell ref="S32:S33"/>
    <mergeCell ref="T32:T33"/>
    <mergeCell ref="U32:U33"/>
    <mergeCell ref="V32:V33"/>
    <mergeCell ref="W32:W33"/>
    <mergeCell ref="X32:X33"/>
    <mergeCell ref="Y32:Y33"/>
    <mergeCell ref="Z32:Z33"/>
    <mergeCell ref="AA32:AA33"/>
    <mergeCell ref="AB32:AB33"/>
    <mergeCell ref="AC32:AC33"/>
    <mergeCell ref="AD32:AD33"/>
    <mergeCell ref="AE32:AE33"/>
    <mergeCell ref="AF32:AF33"/>
    <mergeCell ref="AG32:AG33"/>
    <mergeCell ref="AH32:AH33"/>
    <mergeCell ref="AI32:AI33"/>
    <mergeCell ref="AQ32:AQ33"/>
    <mergeCell ref="AR32:AR33"/>
    <mergeCell ref="AS32:AS33"/>
    <mergeCell ref="AT32:AT33"/>
    <mergeCell ref="AJ32:AJ33"/>
    <mergeCell ref="AK32:AK33"/>
    <mergeCell ref="AL32:AL33"/>
    <mergeCell ref="AM32:AM33"/>
    <mergeCell ref="AN32:AN33"/>
    <mergeCell ref="AO32:AO33"/>
    <mergeCell ref="AP32:AP33"/>
    <mergeCell ref="G24:G27"/>
    <mergeCell ref="G28:G31"/>
    <mergeCell ref="K28:K31"/>
    <mergeCell ref="M28:M31"/>
    <mergeCell ref="O28:O31"/>
    <mergeCell ref="Q28:Q31"/>
    <mergeCell ref="S28:S31"/>
    <mergeCell ref="I35:J35"/>
    <mergeCell ref="K35:L35"/>
    <mergeCell ref="M35:N35"/>
    <mergeCell ref="O35:P35"/>
    <mergeCell ref="Q35:R35"/>
    <mergeCell ref="S35:T35"/>
    <mergeCell ref="U35:V35"/>
    <mergeCell ref="AK35:AL35"/>
    <mergeCell ref="AM35:AN35"/>
    <mergeCell ref="AO35:AP35"/>
    <mergeCell ref="AQ35:AR35"/>
    <mergeCell ref="AS35:AT35"/>
    <mergeCell ref="W35:X35"/>
    <mergeCell ref="Y35:Z35"/>
    <mergeCell ref="AA35:AB35"/>
    <mergeCell ref="AC35:AD35"/>
    <mergeCell ref="AE35:AF35"/>
    <mergeCell ref="AG35:AH35"/>
    <mergeCell ref="AI35:AJ35"/>
    <mergeCell ref="A24:A27"/>
    <mergeCell ref="A28:A31"/>
    <mergeCell ref="C28:C31"/>
    <mergeCell ref="E28:E31"/>
    <mergeCell ref="C35:D35"/>
    <mergeCell ref="E35:F35"/>
    <mergeCell ref="G35:H35"/>
    <mergeCell ref="C36:D36"/>
    <mergeCell ref="E36:F36"/>
    <mergeCell ref="G36:H36"/>
    <mergeCell ref="I36:J36"/>
    <mergeCell ref="K36:L36"/>
    <mergeCell ref="M36:N36"/>
    <mergeCell ref="O36:P36"/>
    <mergeCell ref="AE36:AF36"/>
    <mergeCell ref="AG36:AH36"/>
    <mergeCell ref="AI36:AJ36"/>
    <mergeCell ref="AK36:AL36"/>
    <mergeCell ref="AM36:AN36"/>
    <mergeCell ref="AO36:AP36"/>
    <mergeCell ref="AQ36:AR36"/>
    <mergeCell ref="AS36:AT36"/>
    <mergeCell ref="Q36:R36"/>
    <mergeCell ref="S36:T36"/>
    <mergeCell ref="U36:V36"/>
    <mergeCell ref="W36:X36"/>
    <mergeCell ref="Y36:Z36"/>
    <mergeCell ref="AA36:AB36"/>
    <mergeCell ref="AC36:AD36"/>
    <mergeCell ref="A3:A6"/>
    <mergeCell ref="E3:E6"/>
    <mergeCell ref="I3:I6"/>
    <mergeCell ref="M3:M6"/>
    <mergeCell ref="E7:E14"/>
    <mergeCell ref="I7:I14"/>
    <mergeCell ref="M7:M14"/>
    <mergeCell ref="AI15:AI19"/>
    <mergeCell ref="AK15:AK19"/>
    <mergeCell ref="AM15:AM19"/>
    <mergeCell ref="AO15:AO19"/>
    <mergeCell ref="AQ15:AQ19"/>
    <mergeCell ref="AS15:AS19"/>
    <mergeCell ref="AE20:AE23"/>
    <mergeCell ref="AG20:AG23"/>
    <mergeCell ref="AI20:AI23"/>
    <mergeCell ref="AK20:AK23"/>
    <mergeCell ref="AM20:AM23"/>
    <mergeCell ref="AO20:AO23"/>
    <mergeCell ref="AQ20:AQ23"/>
    <mergeCell ref="AS20:AS23"/>
    <mergeCell ref="AI24:AI27"/>
    <mergeCell ref="AK24:AK27"/>
    <mergeCell ref="AM24:AM27"/>
    <mergeCell ref="AO24:AO27"/>
    <mergeCell ref="AQ24:AQ27"/>
    <mergeCell ref="AS24:AS27"/>
    <mergeCell ref="U24:U27"/>
    <mergeCell ref="W24:W27"/>
    <mergeCell ref="Y24:Y27"/>
    <mergeCell ref="AA24:AA27"/>
    <mergeCell ref="AC24:AC27"/>
    <mergeCell ref="AE24:AE27"/>
    <mergeCell ref="AG24:AG27"/>
    <mergeCell ref="G3:G6"/>
    <mergeCell ref="G7:G14"/>
    <mergeCell ref="G15:G19"/>
    <mergeCell ref="I15:I19"/>
    <mergeCell ref="G20:G23"/>
    <mergeCell ref="I20:I23"/>
    <mergeCell ref="I24:I27"/>
    <mergeCell ref="I28:I31"/>
    <mergeCell ref="AI28:AI31"/>
    <mergeCell ref="AK28:AK31"/>
    <mergeCell ref="AM28:AM31"/>
    <mergeCell ref="AO28:AO31"/>
    <mergeCell ref="AQ28:AQ31"/>
    <mergeCell ref="AS28:AS31"/>
    <mergeCell ref="U28:U31"/>
    <mergeCell ref="W28:W31"/>
    <mergeCell ref="Y28:Y31"/>
    <mergeCell ref="AA28:AA31"/>
    <mergeCell ref="AC28:AC31"/>
    <mergeCell ref="AE28:AE31"/>
    <mergeCell ref="AG28:AG31"/>
  </mergeCells>
  <conditionalFormatting sqref="E3:E28 F3:F32 G3:G28 H3:H31 I3:I28 J3:J31 Q3:Q28 R3:R31 AG3:AG28 AH3:AH31">
    <cfRule type="cellIs" dxfId="5" priority="1" operator="between">
      <formula>7.10001</formula>
      <formula>7.5</formula>
    </cfRule>
  </conditionalFormatting>
  <conditionalFormatting sqref="C3:C31 D3:D32 E3:E31 F3:F33 G3:AT31">
    <cfRule type="cellIs" dxfId="1" priority="2" operator="greaterThan">
      <formula>8.5</formula>
    </cfRule>
  </conditionalFormatting>
  <conditionalFormatting sqref="C3:C31 D3:D32 E3:E31 F3:F33 G3:AT31">
    <cfRule type="cellIs" dxfId="12" priority="3" operator="between">
      <formula>8.000001</formula>
      <formula>8.5</formula>
    </cfRule>
  </conditionalFormatting>
  <conditionalFormatting sqref="C3:C31 D3:D32 E3:E31 F3:F33 G3:AT31">
    <cfRule type="cellIs" dxfId="3" priority="4" operator="between">
      <formula>7.500001</formula>
      <formula>8</formula>
    </cfRule>
  </conditionalFormatting>
  <conditionalFormatting sqref="C3:C28 D3:D32 E3:E28 G3:G28 I3:I28 K3:K28 M3:M28 O3:O28 Q3:Q28 S3:S28 U3:U28 W3:W28 X3:X31 Y3:Y28 Z3:Z31 AA3:AA28 AB3:AB31 AC3:AC28 AE3:AE28 AF3:AF31 AG3:AG28 AI3:AI28 AK3:AK28 AM3:AM28 AO3:AO28 AP3:AP31 AQ3:AQ28 AR3:AR31 F32:F33">
    <cfRule type="cellIs" dxfId="4" priority="5" operator="between">
      <formula>6.50001</formula>
      <formula>7</formula>
    </cfRule>
  </conditionalFormatting>
  <conditionalFormatting sqref="C3:C31 D3:D32 E3:E31 G3:G31 I3:I31 K3:Q31 S3:AG31 AI3:AT31 F32:F33">
    <cfRule type="cellIs" dxfId="5" priority="6" operator="between">
      <formula>7.00001</formula>
      <formula>7.5</formula>
    </cfRule>
  </conditionalFormatting>
  <conditionalFormatting sqref="C3:C29 D3:D31 E3:E29 F3:F31 G3:G29 I3:I29 J3:J31 K3:K29 L3:L31 M3:M29 N3:N31 O3:O29 P3:P31 Q3:Q29 R3:R31 S3:S29 T3:T31 U3:U29 V3:V31 W3:W29 X3:X31 Y3:Y29 Z3:Z31 AA3:AA29 AB3:AD33 AE3:AE29 AF3:AF33 AG3:AG29 AH3:AH33 AI3:AI29 AJ3:AJ33 AK3:AK29 AL3:AL33 AM3:AM29 AN3:AN33 AO3:AO29 AP3:AP33 AQ3:AQ29 AR3:AR33 AS3:AS29 AT3:AT33 AE32:AE33 AG32:AG33 AI32:AI33 AK32:AK33 AM32:AM33 AO32:AO33 AQ32:AQ33 AS32:AS33">
    <cfRule type="cellIs" dxfId="1" priority="7" operator="greaterThan">
      <formula>8.8</formula>
    </cfRule>
  </conditionalFormatting>
  <conditionalFormatting sqref="C3:C29 D3:D31 E3:E29 F3:F31 G3:G29 I3:I29 J3:J31 K3:K29 L3:L31 M3:M29 N3:N31 O3:O29 P3:P31 Q3:Q29 R3:R31 S3:S29 T3:T31 U3:U29 V3:V31 W3:W29 X3:X31 Y3:Y29 Z3:Z31 AA3:AA29 AB3:AD33 AE3:AE29 AF3:AF33 AG3:AG29 AH3:AH33 AI3:AI29 AJ3:AJ33 AK3:AK29 AL3:AL33 AM3:AM29 AN3:AN33 AO3:AO29 AP3:AP33 AQ3:AQ29 AR3:AR33 AS3:AS29 AT3:AT33 AE32:AE33 AG32:AG33 AI32:AI33 AK32:AK33 AM32:AM33 AO32:AO33 AQ32:AQ33 AS32:AS33">
    <cfRule type="cellIs" dxfId="12" priority="8" operator="between">
      <formula>8.300001</formula>
      <formula>8.8</formula>
    </cfRule>
  </conditionalFormatting>
  <conditionalFormatting sqref="C3:C29 D3:D31 E3:E29 F3:F31 G3:G29 I3:I29 J3:J31 K3:K29 L3:L31 M3:M29 N3:N31 O3:O29 P3:P31 Q3:Q29 R3:R31 S3:S29 T3:T31 U3:U29 V3:V31 W3:W29 X3:X31 Y3:Y29 Z3:Z31 AA3:AA29 AB3:AD33 AE3:AE29 AF3:AF33 AG3:AG29 AH3:AH33 AI3:AI29 AJ3:AJ33 AK3:AK29 AL3:AL33 AM3:AM29 AN3:AN33 AO3:AO29 AP3:AP33 AQ3:AQ29 AR3:AR33 AS3:AS29 AT3:AT33 AE32:AE33 AG32:AG33 AI32:AI33 AK32:AK33 AM32:AM33 AO32:AO33 AQ32:AQ33 AS32:AS33">
    <cfRule type="cellIs" dxfId="3" priority="9" operator="between">
      <formula>7.800001</formula>
      <formula>8.3</formula>
    </cfRule>
  </conditionalFormatting>
  <conditionalFormatting sqref="C3:E31 F3:F32 G3:AA31 AB3:AT33">
    <cfRule type="cellIs" dxfId="4" priority="10" operator="between">
      <formula>6.50001</formula>
      <formula>7.1</formula>
    </cfRule>
  </conditionalFormatting>
  <conditionalFormatting sqref="C3:C29 D3:D31 E3:E29 F3:F31 G3:G29 I3:I29 J3:J31 K3:K29 L3:L31 M3:M29 N3:N31 O3:O29 P3:P31 Q3:Q29 R3:R31 S3:S29 T3:T31 U3:U29 V3:V31 W3:W29 X3:X31 Y3:Y29 Z3:Z31 AA3:AA29 AB3:AD33 AE3:AE29 AF3:AF33 AG3:AG29 AH3:AH33 AI3:AI29 AJ3:AJ33 AK3:AK29 AL3:AL33 AM3:AM29 AN3:AN33 AO3:AO29 AP3:AP33 AQ3:AQ29 AR3:AR33 AS3:AS29 AT3:AT33 AE32:AE33 AG32:AG33 AI32:AI33 AK32:AK33 AM32:AM33 AO32:AO33 AQ32:AQ33 AS32:AS33">
    <cfRule type="cellIs" dxfId="5" priority="11" operator="between">
      <formula>7.10001</formula>
      <formula>7.8</formula>
    </cfRule>
  </conditionalFormatting>
  <conditionalFormatting sqref="C3:C31 D3:E32 F3:F33 G3:AA32 AB3:AT33">
    <cfRule type="cellIs" dxfId="6" priority="12" operator="between">
      <formula>0</formula>
      <formula>6.5</formula>
    </cfRule>
  </conditionalFormatting>
  <conditionalFormatting sqref="C3:C29 D3:D32 E3:E29 F3:F33 G3:I29 J3:J32 K3:M29 N3:N32 O3:S29 T3:T30 U3:Y29 Z3:Z30 AA3:AB29 AC3:AC32 AD3:AD33 AE3:AE29 AF3:AF32 AG3:AG29 AH3:AH32 AI3:AO29 AP3:AP32 AQ3:AQ29 AR3:AR32 AS3:AS29 AT3:AT32 E32 G32:I32 K32:M32 O32:AB32 AE32 AG32 AI32:AO32 AQ32 AS32">
    <cfRule type="cellIs" dxfId="4" priority="13" operator="between">
      <formula>6.50001</formula>
      <formula>7.2</formula>
    </cfRule>
  </conditionalFormatting>
  <conditionalFormatting sqref="C3:C29 D3:D32 E3:E29 F3:F33 G3:I29 J3:J32 K3:M29 N3:N32 O3:S29 T3:T30 U3:Y29 Z3:Z30 AA3:AB29 AC3:AC32 AD3:AD33 AE3:AE29 AF3:AF32 AG3:AG29 AH3:AH32 AI3:AO29 AP3:AP32 AQ3:AQ29 AR3:AR32 AS3:AS29 AT3:AT32 E32 G32:I32 K32:M32 O32:AB32 AE32 AG32 AI32:AO32 AQ32 AS32">
    <cfRule type="cellIs" dxfId="5" priority="14" operator="between">
      <formula>7.20001</formula>
      <formula>8</formula>
    </cfRule>
  </conditionalFormatting>
  <conditionalFormatting sqref="C3:C29 D3:D32 E3:E29 F3:F33 G3:I29 J3:J32 K3:M29 N3:N32 O3:S29 T3:T30 U3:Y29 Z3:Z30 AA3:AB29 AC3:AC32 AD3:AD33 AE3:AE29 AF3:AF32 AG3:AG29 AH3:AH32 AI3:AO29 AP3:AP32 AQ3:AQ29 AR3:AR32 AS3:AS29 AT3:AT32 E32 G32:I32 K32:M32 O32:AB32 AE32 AG32 AI32:AO32 AQ32 AS32">
    <cfRule type="cellIs" dxfId="3" priority="15" operator="between">
      <formula>8.0001</formula>
      <formula>8.5</formula>
    </cfRule>
  </conditionalFormatting>
  <conditionalFormatting sqref="C3:C29 D3:D32 E3:E29 F3:F33 G3:I29 J3:J32 K3:M29 N3:N32 O3:S29 T3:T30 U3:Y29 Z3:Z30 AA3:AB29 AC3:AC32 AD3:AD33 AE3:AE29 AF3:AF32 AG3:AG29 AH3:AH32 AI3:AO29 AP3:AP32 AQ3:AQ29 AR3:AR32 AS3:AS29 AT3:AT32 E32 G32:I32 K32:M32 O32:AB32 AE32 AG32 AI32:AO32 AQ32 AS32">
    <cfRule type="cellIs" dxfId="12" priority="16" operator="between">
      <formula>8.50001</formula>
      <formula>9</formula>
    </cfRule>
  </conditionalFormatting>
  <conditionalFormatting sqref="C3:C29 D3:D32 E3:E29 F3:F33 G3:I29 J3:J32 K3:M29 N3:N32 O3:S29 T3:T30 U3:Y29 Z3:Z30 AA3:AB29 AC3:AC32 AD3:AD33 AE3:AE29 AF3:AF32 AG3:AG29 AH3:AH32 AI3:AO29 AP3:AP32 AQ3:AQ29 AR3:AR32 AS3:AS29 AT3:AT32 E32 G32:I32 K32:M32 O32:AB32 AE32 AG32 AI32:AO32 AQ32 AS32">
    <cfRule type="cellIs" dxfId="1" priority="17" operator="greaterThan">
      <formula>9</formula>
    </cfRule>
  </conditionalFormatting>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55.14"/>
  </cols>
  <sheetData>
    <row r="1" ht="45.0" customHeight="1">
      <c r="A1" s="890"/>
      <c r="B1" s="890"/>
      <c r="C1" s="891" t="s">
        <v>272</v>
      </c>
      <c r="D1" s="311"/>
      <c r="E1" s="891" t="s">
        <v>275</v>
      </c>
      <c r="F1" s="311"/>
      <c r="G1" s="892" t="s">
        <v>278</v>
      </c>
      <c r="H1" s="311"/>
      <c r="I1" s="891" t="s">
        <v>386</v>
      </c>
      <c r="J1" s="311"/>
      <c r="K1" s="892" t="s">
        <v>387</v>
      </c>
      <c r="L1" s="311"/>
      <c r="M1" s="891" t="s">
        <v>335</v>
      </c>
      <c r="N1" s="311"/>
      <c r="O1" s="892" t="s">
        <v>388</v>
      </c>
      <c r="P1" s="311"/>
      <c r="Q1" s="891" t="s">
        <v>389</v>
      </c>
      <c r="R1" s="311"/>
      <c r="S1" s="891" t="s">
        <v>327</v>
      </c>
      <c r="T1" s="311"/>
      <c r="U1" s="891" t="s">
        <v>329</v>
      </c>
      <c r="V1" s="311"/>
      <c r="W1" s="891" t="s">
        <v>333</v>
      </c>
      <c r="X1" s="311"/>
      <c r="Y1" s="891" t="s">
        <v>390</v>
      </c>
      <c r="Z1" s="311"/>
      <c r="AA1" s="891" t="s">
        <v>391</v>
      </c>
      <c r="AB1" s="311"/>
      <c r="AC1" s="891" t="s">
        <v>330</v>
      </c>
      <c r="AD1" s="311"/>
      <c r="AE1" s="892" t="s">
        <v>392</v>
      </c>
      <c r="AF1" s="311"/>
      <c r="AG1" s="891" t="s">
        <v>276</v>
      </c>
      <c r="AH1" s="311"/>
      <c r="AI1" s="891" t="s">
        <v>393</v>
      </c>
      <c r="AJ1" s="311"/>
      <c r="AK1" s="891" t="s">
        <v>331</v>
      </c>
      <c r="AL1" s="311"/>
      <c r="AM1" s="891" t="s">
        <v>271</v>
      </c>
      <c r="AN1" s="311"/>
      <c r="AO1" s="891" t="s">
        <v>394</v>
      </c>
      <c r="AP1" s="311"/>
      <c r="AQ1" s="891" t="s">
        <v>395</v>
      </c>
      <c r="AR1" s="311"/>
      <c r="AS1" s="892" t="s">
        <v>396</v>
      </c>
      <c r="AT1" s="311"/>
      <c r="AU1" s="893"/>
      <c r="AV1" s="893"/>
    </row>
    <row r="2" ht="45.0" customHeight="1">
      <c r="A2" s="890"/>
      <c r="B2" s="890"/>
      <c r="C2" s="894" t="s">
        <v>27</v>
      </c>
      <c r="D2" s="894" t="s">
        <v>4</v>
      </c>
      <c r="E2" s="894" t="s">
        <v>27</v>
      </c>
      <c r="F2" s="894" t="s">
        <v>4</v>
      </c>
      <c r="G2" s="894" t="s">
        <v>27</v>
      </c>
      <c r="H2" s="894" t="s">
        <v>4</v>
      </c>
      <c r="I2" s="894" t="s">
        <v>27</v>
      </c>
      <c r="J2" s="894" t="s">
        <v>4</v>
      </c>
      <c r="K2" s="894" t="s">
        <v>27</v>
      </c>
      <c r="L2" s="894" t="s">
        <v>4</v>
      </c>
      <c r="M2" s="894" t="s">
        <v>27</v>
      </c>
      <c r="N2" s="894" t="s">
        <v>4</v>
      </c>
      <c r="O2" s="894" t="s">
        <v>27</v>
      </c>
      <c r="P2" s="894" t="s">
        <v>4</v>
      </c>
      <c r="Q2" s="894" t="s">
        <v>27</v>
      </c>
      <c r="R2" s="894" t="s">
        <v>4</v>
      </c>
      <c r="S2" s="894" t="s">
        <v>27</v>
      </c>
      <c r="T2" s="894" t="s">
        <v>4</v>
      </c>
      <c r="U2" s="894" t="s">
        <v>27</v>
      </c>
      <c r="V2" s="894" t="s">
        <v>4</v>
      </c>
      <c r="W2" s="894" t="s">
        <v>27</v>
      </c>
      <c r="X2" s="894" t="s">
        <v>4</v>
      </c>
      <c r="Y2" s="894" t="s">
        <v>27</v>
      </c>
      <c r="Z2" s="894" t="s">
        <v>4</v>
      </c>
      <c r="AA2" s="894" t="s">
        <v>27</v>
      </c>
      <c r="AB2" s="894" t="s">
        <v>4</v>
      </c>
      <c r="AC2" s="894" t="s">
        <v>27</v>
      </c>
      <c r="AD2" s="894" t="s">
        <v>4</v>
      </c>
      <c r="AE2" s="894" t="s">
        <v>27</v>
      </c>
      <c r="AF2" s="894" t="s">
        <v>4</v>
      </c>
      <c r="AG2" s="894" t="s">
        <v>27</v>
      </c>
      <c r="AH2" s="894" t="s">
        <v>4</v>
      </c>
      <c r="AI2" s="894" t="s">
        <v>27</v>
      </c>
      <c r="AJ2" s="894" t="s">
        <v>4</v>
      </c>
      <c r="AK2" s="894" t="s">
        <v>27</v>
      </c>
      <c r="AL2" s="894" t="s">
        <v>4</v>
      </c>
      <c r="AM2" s="894" t="s">
        <v>27</v>
      </c>
      <c r="AN2" s="894" t="s">
        <v>4</v>
      </c>
      <c r="AO2" s="894" t="s">
        <v>27</v>
      </c>
      <c r="AP2" s="894" t="s">
        <v>4</v>
      </c>
      <c r="AQ2" s="894" t="s">
        <v>27</v>
      </c>
      <c r="AR2" s="894" t="s">
        <v>4</v>
      </c>
      <c r="AS2" s="894" t="s">
        <v>27</v>
      </c>
      <c r="AT2" s="894" t="s">
        <v>4</v>
      </c>
      <c r="AU2" s="893"/>
      <c r="AV2" s="893"/>
    </row>
    <row r="3" ht="45.0" customHeight="1">
      <c r="A3" s="895" t="s">
        <v>29</v>
      </c>
      <c r="B3" s="896" t="s">
        <v>337</v>
      </c>
      <c r="C3" s="897">
        <f>AVERAGE(D3:D6)</f>
        <v>8.543506494</v>
      </c>
      <c r="D3" s="898">
        <v>8.545454545454545</v>
      </c>
      <c r="E3" s="899">
        <f>AVERAGE(F3:F6)</f>
        <v>7.665800866</v>
      </c>
      <c r="F3" s="900">
        <v>7.2727272727272725</v>
      </c>
      <c r="G3" s="901">
        <f>AVERAGE(H3:H6)</f>
        <v>8.236742424</v>
      </c>
      <c r="H3" s="902">
        <v>8.25</v>
      </c>
      <c r="I3" s="899">
        <f>AVERAGE(J3:J6)</f>
        <v>7.65</v>
      </c>
      <c r="J3" s="903">
        <v>7.0</v>
      </c>
      <c r="K3" s="901">
        <f>AVERAGE(L3:L6)</f>
        <v>8.071428571</v>
      </c>
      <c r="L3" s="904">
        <v>7.571428571428571</v>
      </c>
      <c r="M3" s="905">
        <f>AVERAGE(N3:N6)</f>
        <v>7.321428571</v>
      </c>
      <c r="N3" s="903">
        <v>6.714285714285714</v>
      </c>
      <c r="O3" s="899">
        <f>AVERAGE(P3:P6)</f>
        <v>7.642857143</v>
      </c>
      <c r="P3" s="900">
        <v>7.285714285714286</v>
      </c>
      <c r="Q3" s="901">
        <f>AVERAGE(R3:R6)</f>
        <v>8.083333333</v>
      </c>
      <c r="R3" s="902">
        <v>8.333333333333334</v>
      </c>
      <c r="S3" s="899">
        <f>AVERAGE(T3:T6)</f>
        <v>7.566666667</v>
      </c>
      <c r="T3" s="904">
        <v>7.714285714285714</v>
      </c>
      <c r="U3" s="906">
        <f>AVERAGE(V3:V6)</f>
        <v>6.854166667</v>
      </c>
      <c r="V3" s="907">
        <v>5.833333333333333</v>
      </c>
      <c r="W3" s="899">
        <f>AVERAGE(X3:X6)</f>
        <v>7.865384615</v>
      </c>
      <c r="X3" s="904">
        <v>7.6923076923076925</v>
      </c>
      <c r="Y3" s="901">
        <f>AVERAGE(Z3:Z6)</f>
        <v>8.049632353</v>
      </c>
      <c r="Z3" s="904">
        <v>7.8125</v>
      </c>
      <c r="AA3" s="905">
        <f>AVERAGE(AB3:AB6)</f>
        <v>7.115384615</v>
      </c>
      <c r="AB3" s="903">
        <v>6.538461538461538</v>
      </c>
      <c r="AC3" s="901">
        <f>AVERAGE(AD3:AD6)</f>
        <v>8.152380952</v>
      </c>
      <c r="AD3" s="902">
        <v>8.214285714285714</v>
      </c>
      <c r="AE3" s="905">
        <f>AVERAGE(AF3:AF6)</f>
        <v>7.3125</v>
      </c>
      <c r="AF3" s="900">
        <v>7.166666666666667</v>
      </c>
      <c r="AG3" s="899">
        <f>AVERAGE(AH3:AH6)</f>
        <v>7.688095238</v>
      </c>
      <c r="AH3" s="900">
        <v>7.2</v>
      </c>
      <c r="AI3" s="905">
        <f>AVERAGE(AJ3:AJ6)</f>
        <v>7.288461538</v>
      </c>
      <c r="AJ3" s="900">
        <v>7.3076923076923075</v>
      </c>
      <c r="AK3" s="897">
        <f>AVERAGE(AL3:AL6)</f>
        <v>8.666666667</v>
      </c>
      <c r="AL3" s="898">
        <v>9.0</v>
      </c>
      <c r="AM3" s="905">
        <f>AVERAGE(AN3:AN6)</f>
        <v>7.479545455</v>
      </c>
      <c r="AN3" s="900">
        <v>7.090909090909091</v>
      </c>
      <c r="AO3" s="905">
        <f>AVERAGE(AP3:AP6)</f>
        <v>7.071428571</v>
      </c>
      <c r="AP3" s="907">
        <v>6.285714285714286</v>
      </c>
      <c r="AQ3" s="905">
        <f>AVERAGE(AR3:AR6)</f>
        <v>7.107142857</v>
      </c>
      <c r="AR3" s="907">
        <v>6.142857142857143</v>
      </c>
      <c r="AS3" s="906">
        <f>AVERAGE(AT3:AT6)</f>
        <v>6.714285714</v>
      </c>
      <c r="AT3" s="907">
        <v>6.0</v>
      </c>
      <c r="AU3" s="893"/>
      <c r="AV3" s="893"/>
    </row>
    <row r="4" ht="45.0" customHeight="1">
      <c r="B4" s="896" t="s">
        <v>194</v>
      </c>
      <c r="C4" s="829"/>
      <c r="D4" s="902">
        <v>8.380952380952381</v>
      </c>
      <c r="E4" s="829"/>
      <c r="F4" s="902">
        <v>8.19047619047619</v>
      </c>
      <c r="G4" s="829"/>
      <c r="H4" s="904">
        <v>7.75</v>
      </c>
      <c r="I4" s="829"/>
      <c r="J4" s="904">
        <v>7.8</v>
      </c>
      <c r="K4" s="829"/>
      <c r="L4" s="902">
        <v>8.142857142857142</v>
      </c>
      <c r="M4" s="829"/>
      <c r="N4" s="900">
        <v>7.428571428571429</v>
      </c>
      <c r="O4" s="829"/>
      <c r="P4" s="900">
        <v>7.428571428571429</v>
      </c>
      <c r="Q4" s="829"/>
      <c r="R4" s="902">
        <v>8.5</v>
      </c>
      <c r="S4" s="829"/>
      <c r="T4" s="900">
        <v>7.357142857142857</v>
      </c>
      <c r="U4" s="829"/>
      <c r="V4" s="900">
        <v>7.25</v>
      </c>
      <c r="W4" s="829"/>
      <c r="X4" s="902">
        <v>8.076923076923077</v>
      </c>
      <c r="Y4" s="829"/>
      <c r="Z4" s="898">
        <v>8.5625</v>
      </c>
      <c r="AA4" s="829"/>
      <c r="AB4" s="900">
        <v>7.384615384615385</v>
      </c>
      <c r="AC4" s="829"/>
      <c r="AD4" s="902">
        <v>8.428571428571429</v>
      </c>
      <c r="AE4" s="829"/>
      <c r="AF4" s="904">
        <v>7.666666666666667</v>
      </c>
      <c r="AG4" s="829"/>
      <c r="AH4" s="902">
        <v>8.066666666666666</v>
      </c>
      <c r="AI4" s="829"/>
      <c r="AJ4" s="900">
        <v>7.461538461538462</v>
      </c>
      <c r="AK4" s="829"/>
      <c r="AL4" s="902">
        <v>8.333333333333334</v>
      </c>
      <c r="AM4" s="829"/>
      <c r="AN4" s="904">
        <v>7.7272727272727275</v>
      </c>
      <c r="AO4" s="829"/>
      <c r="AP4" s="900">
        <v>7.428571428571429</v>
      </c>
      <c r="AQ4" s="829"/>
      <c r="AR4" s="904">
        <v>8.0</v>
      </c>
      <c r="AS4" s="829"/>
      <c r="AT4" s="900">
        <v>7.142857142857143</v>
      </c>
      <c r="AU4" s="893"/>
      <c r="AV4" s="893"/>
    </row>
    <row r="5" ht="45.0" customHeight="1">
      <c r="B5" s="896" t="s">
        <v>195</v>
      </c>
      <c r="C5" s="829"/>
      <c r="D5" s="898">
        <v>9.047619047619047</v>
      </c>
      <c r="E5" s="829"/>
      <c r="F5" s="903">
        <v>7.0</v>
      </c>
      <c r="G5" s="829"/>
      <c r="H5" s="898">
        <v>8.583333333333334</v>
      </c>
      <c r="I5" s="829"/>
      <c r="J5" s="900">
        <v>7.3</v>
      </c>
      <c r="K5" s="829"/>
      <c r="L5" s="902">
        <v>8.285714285714286</v>
      </c>
      <c r="M5" s="829"/>
      <c r="N5" s="900">
        <v>7.142857142857143</v>
      </c>
      <c r="O5" s="829"/>
      <c r="P5" s="904">
        <v>7.714285714285714</v>
      </c>
      <c r="Q5" s="829"/>
      <c r="R5" s="903">
        <v>6.916666666666667</v>
      </c>
      <c r="S5" s="829"/>
      <c r="T5" s="903">
        <v>6.928571428571429</v>
      </c>
      <c r="U5" s="829"/>
      <c r="V5" s="903">
        <v>6.833333333333333</v>
      </c>
      <c r="W5" s="829"/>
      <c r="X5" s="900">
        <v>7.384615384615385</v>
      </c>
      <c r="Y5" s="829"/>
      <c r="Z5" s="903">
        <v>7.0</v>
      </c>
      <c r="AA5" s="829"/>
      <c r="AB5" s="903">
        <v>6.769230769230769</v>
      </c>
      <c r="AC5" s="829"/>
      <c r="AD5" s="900">
        <v>7.5</v>
      </c>
      <c r="AE5" s="829"/>
      <c r="AF5" s="907">
        <v>6.5</v>
      </c>
      <c r="AG5" s="829"/>
      <c r="AH5" s="900">
        <v>7.2</v>
      </c>
      <c r="AI5" s="829"/>
      <c r="AJ5" s="903">
        <v>6.769230769230769</v>
      </c>
      <c r="AK5" s="829"/>
      <c r="AL5" s="902">
        <v>8.5</v>
      </c>
      <c r="AM5" s="829"/>
      <c r="AN5" s="903">
        <v>7.0</v>
      </c>
      <c r="AO5" s="829"/>
      <c r="AP5" s="903">
        <v>6.571428571428571</v>
      </c>
      <c r="AQ5" s="829"/>
      <c r="AR5" s="907">
        <v>6.428571428571429</v>
      </c>
      <c r="AS5" s="829"/>
      <c r="AT5" s="907">
        <v>6.285714285714286</v>
      </c>
      <c r="AU5" s="893"/>
      <c r="AV5" s="893"/>
    </row>
    <row r="6" ht="45.0" customHeight="1">
      <c r="B6" s="865" t="s">
        <v>397</v>
      </c>
      <c r="C6" s="838"/>
      <c r="D6" s="902">
        <v>8.2</v>
      </c>
      <c r="E6" s="838"/>
      <c r="F6" s="902">
        <v>8.2</v>
      </c>
      <c r="G6" s="838"/>
      <c r="H6" s="902">
        <v>8.363636363636363</v>
      </c>
      <c r="I6" s="838"/>
      <c r="J6" s="902">
        <v>8.5</v>
      </c>
      <c r="K6" s="838"/>
      <c r="L6" s="902">
        <v>8.285714285714286</v>
      </c>
      <c r="M6" s="838"/>
      <c r="N6" s="904">
        <v>8.0</v>
      </c>
      <c r="O6" s="838"/>
      <c r="P6" s="902">
        <v>8.142857142857142</v>
      </c>
      <c r="Q6" s="838"/>
      <c r="R6" s="898">
        <v>8.583333333333334</v>
      </c>
      <c r="S6" s="838"/>
      <c r="T6" s="902">
        <v>8.266666666666667</v>
      </c>
      <c r="U6" s="838"/>
      <c r="V6" s="900">
        <v>7.5</v>
      </c>
      <c r="W6" s="838"/>
      <c r="X6" s="902">
        <v>8.307692307692308</v>
      </c>
      <c r="Y6" s="838"/>
      <c r="Z6" s="898">
        <v>8.823529411764707</v>
      </c>
      <c r="AA6" s="838"/>
      <c r="AB6" s="904">
        <v>7.769230769230769</v>
      </c>
      <c r="AC6" s="838"/>
      <c r="AD6" s="902">
        <v>8.466666666666667</v>
      </c>
      <c r="AE6" s="838"/>
      <c r="AF6" s="904">
        <v>7.916666666666667</v>
      </c>
      <c r="AG6" s="838"/>
      <c r="AH6" s="902">
        <v>8.285714285714286</v>
      </c>
      <c r="AI6" s="838"/>
      <c r="AJ6" s="904">
        <v>7.615384615384615</v>
      </c>
      <c r="AK6" s="838"/>
      <c r="AL6" s="898">
        <v>8.833333333333334</v>
      </c>
      <c r="AM6" s="838"/>
      <c r="AN6" s="902">
        <v>8.1</v>
      </c>
      <c r="AO6" s="838"/>
      <c r="AP6" s="904">
        <v>8.0</v>
      </c>
      <c r="AQ6" s="838"/>
      <c r="AR6" s="904">
        <v>7.857142857142857</v>
      </c>
      <c r="AS6" s="838"/>
      <c r="AT6" s="900">
        <v>7.428571428571429</v>
      </c>
      <c r="AU6" s="893"/>
      <c r="AV6" s="893"/>
    </row>
    <row r="7" ht="45.0" customHeight="1">
      <c r="A7" s="908" t="s">
        <v>35</v>
      </c>
      <c r="B7" s="909" t="s">
        <v>196</v>
      </c>
      <c r="C7" s="897">
        <f>AVERAGE(D7:D14)</f>
        <v>8.533333333</v>
      </c>
      <c r="D7" s="898">
        <v>8.636363636363637</v>
      </c>
      <c r="E7" s="901">
        <f>AVERAGE(F7:F14)</f>
        <v>8.408008658</v>
      </c>
      <c r="F7" s="902">
        <v>8.5</v>
      </c>
      <c r="G7" s="901">
        <f>AVERAGE(H7:H14)</f>
        <v>8.375</v>
      </c>
      <c r="H7" s="898">
        <v>8.666666666666666</v>
      </c>
      <c r="I7" s="901">
        <f>AVERAGE(J7:J14)</f>
        <v>8.2625</v>
      </c>
      <c r="J7" s="902">
        <v>8.4</v>
      </c>
      <c r="K7" s="901">
        <f>AVERAGE(L7:L14)</f>
        <v>8.357142857</v>
      </c>
      <c r="L7" s="898">
        <v>8.571428571428571</v>
      </c>
      <c r="M7" s="899">
        <f>AVERAGE(N7:N14)</f>
        <v>7.714285714</v>
      </c>
      <c r="N7" s="902">
        <v>8.142857142857142</v>
      </c>
      <c r="O7" s="899">
        <f>AVERAGE(P7:P14)</f>
        <v>7.785714286</v>
      </c>
      <c r="P7" s="904">
        <v>7.857142857142857</v>
      </c>
      <c r="Q7" s="901">
        <f>AVERAGE(R7:R14)</f>
        <v>8.145833333</v>
      </c>
      <c r="R7" s="902">
        <v>8.416666666666666</v>
      </c>
      <c r="S7" s="901">
        <f>AVERAGE(T7:T14)</f>
        <v>8.008333333</v>
      </c>
      <c r="T7" s="898">
        <v>8.533333333333333</v>
      </c>
      <c r="U7" s="905">
        <f>AVERAGE(V7:V14)</f>
        <v>7.5</v>
      </c>
      <c r="V7" s="900">
        <v>7.25</v>
      </c>
      <c r="W7" s="897">
        <f>AVERAGE(X7:X14)</f>
        <v>8.576923077</v>
      </c>
      <c r="X7" s="898">
        <v>8.538461538461538</v>
      </c>
      <c r="Y7" s="901">
        <f>AVERAGE(Z7:Z14)</f>
        <v>8.477941176</v>
      </c>
      <c r="Z7" s="898">
        <v>9.117647058823529</v>
      </c>
      <c r="AA7" s="905">
        <f>AVERAGE(AB7:AB14)</f>
        <v>7.317307692</v>
      </c>
      <c r="AB7" s="900">
        <v>7.153846153846154</v>
      </c>
      <c r="AC7" s="901">
        <f>AVERAGE(AD7:AD14)</f>
        <v>8.075</v>
      </c>
      <c r="AD7" s="904">
        <v>8.0</v>
      </c>
      <c r="AE7" s="905">
        <f>AVERAGE(AF7:AF14)</f>
        <v>7.364583333</v>
      </c>
      <c r="AF7" s="904">
        <v>7.666666666666667</v>
      </c>
      <c r="AG7" s="897">
        <f>AVERAGE(AH7:AH14)</f>
        <v>8.525</v>
      </c>
      <c r="AH7" s="898">
        <v>8.666666666666666</v>
      </c>
      <c r="AI7" s="905">
        <f>AVERAGE(AJ7:AJ14)</f>
        <v>7.326923077</v>
      </c>
      <c r="AJ7" s="900">
        <v>7.3076923076923075</v>
      </c>
      <c r="AK7" s="897">
        <f>AVERAGE(AL7:AL14)</f>
        <v>8.6875</v>
      </c>
      <c r="AL7" s="898">
        <v>9.083333333333334</v>
      </c>
      <c r="AM7" s="901">
        <f>AVERAGE(AN7:AN14)</f>
        <v>8.431818182</v>
      </c>
      <c r="AN7" s="898">
        <v>8.909090909090908</v>
      </c>
      <c r="AO7" s="905">
        <f>AVERAGE(AP7:AP14)</f>
        <v>7.089285714</v>
      </c>
      <c r="AP7" s="903">
        <v>6.714285714285714</v>
      </c>
      <c r="AQ7" s="901">
        <f>AVERAGE(AR7:AR14)</f>
        <v>8.071428571</v>
      </c>
      <c r="AR7" s="902">
        <v>8.285714285714286</v>
      </c>
      <c r="AS7" s="905">
        <f>AVERAGE(AT7:AT14)</f>
        <v>7.214285714</v>
      </c>
      <c r="AT7" s="903">
        <v>6.714285714285714</v>
      </c>
      <c r="AU7" s="893"/>
      <c r="AV7" s="893"/>
    </row>
    <row r="8" ht="45.0" customHeight="1">
      <c r="B8" s="910" t="s">
        <v>398</v>
      </c>
      <c r="C8" s="829"/>
      <c r="D8" s="898">
        <v>8.857142857142858</v>
      </c>
      <c r="E8" s="829"/>
      <c r="F8" s="898">
        <v>8.571428571428571</v>
      </c>
      <c r="G8" s="829"/>
      <c r="H8" s="898">
        <v>9.0</v>
      </c>
      <c r="I8" s="829"/>
      <c r="J8" s="902">
        <v>8.1</v>
      </c>
      <c r="K8" s="829"/>
      <c r="L8" s="898">
        <v>8.571428571428571</v>
      </c>
      <c r="M8" s="829"/>
      <c r="N8" s="904">
        <v>7.714285714285714</v>
      </c>
      <c r="O8" s="829"/>
      <c r="P8" s="904">
        <v>7.571428571428571</v>
      </c>
      <c r="Q8" s="829"/>
      <c r="R8" s="902">
        <v>8.25</v>
      </c>
      <c r="S8" s="829"/>
      <c r="T8" s="904">
        <v>7.933333333333334</v>
      </c>
      <c r="U8" s="829"/>
      <c r="V8" s="903">
        <v>7.0</v>
      </c>
      <c r="W8" s="829"/>
      <c r="X8" s="898">
        <v>8.692307692307692</v>
      </c>
      <c r="Y8" s="829"/>
      <c r="Z8" s="902">
        <v>8.352941176470589</v>
      </c>
      <c r="AA8" s="829"/>
      <c r="AB8" s="903">
        <v>7.0</v>
      </c>
      <c r="AC8" s="829"/>
      <c r="AD8" s="898">
        <v>8.8</v>
      </c>
      <c r="AE8" s="829"/>
      <c r="AF8" s="900">
        <v>7.333333333333333</v>
      </c>
      <c r="AG8" s="829"/>
      <c r="AH8" s="898">
        <v>9.066666666666666</v>
      </c>
      <c r="AI8" s="829"/>
      <c r="AJ8" s="900">
        <v>7.3076923076923075</v>
      </c>
      <c r="AK8" s="829"/>
      <c r="AL8" s="898">
        <v>8.916666666666666</v>
      </c>
      <c r="AM8" s="829"/>
      <c r="AN8" s="902">
        <v>8.363636363636363</v>
      </c>
      <c r="AO8" s="829"/>
      <c r="AP8" s="903">
        <v>7.0</v>
      </c>
      <c r="AQ8" s="829"/>
      <c r="AR8" s="904">
        <v>7.857142857142857</v>
      </c>
      <c r="AS8" s="829"/>
      <c r="AT8" s="900">
        <v>7.142857142857143</v>
      </c>
      <c r="AU8" s="893"/>
      <c r="AV8" s="893"/>
    </row>
    <row r="9" ht="45.0" customHeight="1">
      <c r="B9" s="909" t="s">
        <v>198</v>
      </c>
      <c r="C9" s="829"/>
      <c r="D9" s="898">
        <v>8.6</v>
      </c>
      <c r="E9" s="829"/>
      <c r="F9" s="902">
        <v>8.476190476190476</v>
      </c>
      <c r="G9" s="829"/>
      <c r="H9" s="902">
        <v>8.416666666666666</v>
      </c>
      <c r="I9" s="829"/>
      <c r="J9" s="904">
        <v>7.7</v>
      </c>
      <c r="K9" s="829"/>
      <c r="L9" s="898">
        <v>8.571428571428571</v>
      </c>
      <c r="M9" s="829"/>
      <c r="N9" s="902">
        <v>8.285714285714286</v>
      </c>
      <c r="O9" s="829"/>
      <c r="P9" s="898">
        <v>8.714285714285714</v>
      </c>
      <c r="Q9" s="829"/>
      <c r="R9" s="902">
        <v>8.25</v>
      </c>
      <c r="S9" s="829"/>
      <c r="T9" s="898">
        <v>8.6</v>
      </c>
      <c r="U9" s="829"/>
      <c r="V9" s="904">
        <v>8.0</v>
      </c>
      <c r="W9" s="829"/>
      <c r="X9" s="898">
        <v>8.538461538461538</v>
      </c>
      <c r="Y9" s="829"/>
      <c r="Z9" s="898">
        <v>8.882352941176471</v>
      </c>
      <c r="AA9" s="829"/>
      <c r="AB9" s="903">
        <v>7.0</v>
      </c>
      <c r="AC9" s="829"/>
      <c r="AD9" s="902">
        <v>8.133333333333333</v>
      </c>
      <c r="AE9" s="829"/>
      <c r="AF9" s="902">
        <v>8.25</v>
      </c>
      <c r="AG9" s="829"/>
      <c r="AH9" s="902">
        <v>8.466666666666667</v>
      </c>
      <c r="AI9" s="829"/>
      <c r="AJ9" s="904">
        <v>7.538461538461538</v>
      </c>
      <c r="AK9" s="829"/>
      <c r="AL9" s="898">
        <v>8.75</v>
      </c>
      <c r="AM9" s="829"/>
      <c r="AN9" s="898">
        <v>8.818181818181818</v>
      </c>
      <c r="AO9" s="829"/>
      <c r="AP9" s="903">
        <v>6.714285714285714</v>
      </c>
      <c r="AQ9" s="829"/>
      <c r="AR9" s="902">
        <v>8.142857142857142</v>
      </c>
      <c r="AS9" s="829"/>
      <c r="AT9" s="903">
        <v>6.714285714285714</v>
      </c>
      <c r="AU9" s="893"/>
      <c r="AV9" s="893"/>
    </row>
    <row r="10" ht="45.0" customHeight="1">
      <c r="B10" s="909" t="s">
        <v>199</v>
      </c>
      <c r="C10" s="829"/>
      <c r="D10" s="898">
        <v>8.545454545454545</v>
      </c>
      <c r="E10" s="829"/>
      <c r="F10" s="902">
        <v>8.363636363636363</v>
      </c>
      <c r="G10" s="829"/>
      <c r="H10" s="902">
        <v>8.416666666666666</v>
      </c>
      <c r="I10" s="829"/>
      <c r="J10" s="902">
        <v>8.4</v>
      </c>
      <c r="K10" s="829"/>
      <c r="L10" s="902">
        <v>8.285714285714286</v>
      </c>
      <c r="M10" s="829"/>
      <c r="N10" s="904">
        <v>7.857142857142857</v>
      </c>
      <c r="O10" s="829"/>
      <c r="P10" s="903">
        <v>6.714285714285714</v>
      </c>
      <c r="Q10" s="829"/>
      <c r="R10" s="904">
        <v>7.833333333333333</v>
      </c>
      <c r="S10" s="829"/>
      <c r="T10" s="902">
        <v>8.266666666666667</v>
      </c>
      <c r="U10" s="829"/>
      <c r="V10" s="904">
        <v>7.583333333333333</v>
      </c>
      <c r="W10" s="829"/>
      <c r="X10" s="898">
        <v>8.692307692307692</v>
      </c>
      <c r="Y10" s="829"/>
      <c r="Z10" s="902">
        <v>8.470588235294118</v>
      </c>
      <c r="AA10" s="829"/>
      <c r="AB10" s="900">
        <v>7.384615384615385</v>
      </c>
      <c r="AC10" s="829"/>
      <c r="AD10" s="904">
        <v>7.933333333333334</v>
      </c>
      <c r="AE10" s="829"/>
      <c r="AF10" s="903">
        <v>6.666666666666667</v>
      </c>
      <c r="AG10" s="829"/>
      <c r="AH10" s="898">
        <v>8.666666666666666</v>
      </c>
      <c r="AI10" s="829"/>
      <c r="AJ10" s="904">
        <v>7.538461538461538</v>
      </c>
      <c r="AK10" s="829"/>
      <c r="AL10" s="898">
        <v>8.916666666666666</v>
      </c>
      <c r="AM10" s="829"/>
      <c r="AN10" s="904">
        <v>7.7272727272727275</v>
      </c>
      <c r="AO10" s="829"/>
      <c r="AP10" s="903">
        <v>6.571428571428571</v>
      </c>
      <c r="AQ10" s="829"/>
      <c r="AR10" s="902">
        <v>8.428571428571429</v>
      </c>
      <c r="AS10" s="829"/>
      <c r="AT10" s="903">
        <v>7.0</v>
      </c>
      <c r="AU10" s="893"/>
      <c r="AV10" s="893"/>
    </row>
    <row r="11" ht="45.0" customHeight="1">
      <c r="B11" s="909" t="s">
        <v>200</v>
      </c>
      <c r="C11" s="829"/>
      <c r="D11" s="898">
        <v>8.681818181818182</v>
      </c>
      <c r="E11" s="829"/>
      <c r="F11" s="898">
        <v>8.636363636363637</v>
      </c>
      <c r="G11" s="829"/>
      <c r="H11" s="902">
        <v>8.166666666666666</v>
      </c>
      <c r="I11" s="829"/>
      <c r="J11" s="898">
        <v>8.6</v>
      </c>
      <c r="K11" s="829"/>
      <c r="L11" s="902">
        <v>8.428571428571429</v>
      </c>
      <c r="M11" s="829"/>
      <c r="N11" s="900">
        <v>7.428571428571429</v>
      </c>
      <c r="O11" s="829"/>
      <c r="P11" s="902">
        <v>8.285714285714286</v>
      </c>
      <c r="Q11" s="829"/>
      <c r="R11" s="902">
        <v>8.166666666666666</v>
      </c>
      <c r="S11" s="829"/>
      <c r="T11" s="902">
        <v>8.266666666666667</v>
      </c>
      <c r="U11" s="829"/>
      <c r="V11" s="902">
        <v>8.083333333333334</v>
      </c>
      <c r="W11" s="829"/>
      <c r="X11" s="898">
        <v>8.692307692307692</v>
      </c>
      <c r="Y11" s="829"/>
      <c r="Z11" s="898">
        <v>8.588235294117647</v>
      </c>
      <c r="AA11" s="829"/>
      <c r="AB11" s="904">
        <v>7.615384615384615</v>
      </c>
      <c r="AC11" s="829"/>
      <c r="AD11" s="904">
        <v>7.8</v>
      </c>
      <c r="AE11" s="829"/>
      <c r="AF11" s="903">
        <v>6.666666666666667</v>
      </c>
      <c r="AG11" s="829"/>
      <c r="AH11" s="898">
        <v>8.666666666666666</v>
      </c>
      <c r="AI11" s="829"/>
      <c r="AJ11" s="903">
        <v>6.923076923076923</v>
      </c>
      <c r="AK11" s="829"/>
      <c r="AL11" s="902">
        <v>8.416666666666666</v>
      </c>
      <c r="AM11" s="829"/>
      <c r="AN11" s="898">
        <v>8.818181818181818</v>
      </c>
      <c r="AO11" s="829"/>
      <c r="AP11" s="904">
        <v>7.571428571428571</v>
      </c>
      <c r="AQ11" s="829"/>
      <c r="AR11" s="902">
        <v>8.428571428571429</v>
      </c>
      <c r="AS11" s="829"/>
      <c r="AT11" s="902">
        <v>8.428571428571429</v>
      </c>
      <c r="AU11" s="893"/>
      <c r="AV11" s="893"/>
    </row>
    <row r="12" ht="45.0" customHeight="1">
      <c r="B12" s="909" t="s">
        <v>201</v>
      </c>
      <c r="C12" s="829"/>
      <c r="D12" s="902">
        <v>8.318181818181818</v>
      </c>
      <c r="E12" s="829"/>
      <c r="F12" s="902">
        <v>8.5</v>
      </c>
      <c r="G12" s="829"/>
      <c r="H12" s="904">
        <v>7.583333333333333</v>
      </c>
      <c r="I12" s="829"/>
      <c r="J12" s="902">
        <v>8.4</v>
      </c>
      <c r="K12" s="829"/>
      <c r="L12" s="902">
        <v>8.142857142857142</v>
      </c>
      <c r="M12" s="829"/>
      <c r="N12" s="900">
        <v>7.285714285714286</v>
      </c>
      <c r="O12" s="829"/>
      <c r="P12" s="904">
        <v>7.714285714285714</v>
      </c>
      <c r="Q12" s="829"/>
      <c r="R12" s="900">
        <v>7.5</v>
      </c>
      <c r="S12" s="829"/>
      <c r="T12" s="900">
        <v>7.133333333333334</v>
      </c>
      <c r="U12" s="829"/>
      <c r="V12" s="900">
        <v>7.333333333333333</v>
      </c>
      <c r="W12" s="829"/>
      <c r="X12" s="902">
        <v>8.384615384615385</v>
      </c>
      <c r="Y12" s="829"/>
      <c r="Z12" s="904">
        <v>7.764705882352941</v>
      </c>
      <c r="AA12" s="829"/>
      <c r="AB12" s="904">
        <v>7.923076923076923</v>
      </c>
      <c r="AC12" s="829"/>
      <c r="AD12" s="902">
        <v>8.066666666666666</v>
      </c>
      <c r="AE12" s="829"/>
      <c r="AF12" s="904">
        <v>7.666666666666667</v>
      </c>
      <c r="AG12" s="829"/>
      <c r="AH12" s="902">
        <v>8.266666666666667</v>
      </c>
      <c r="AI12" s="829"/>
      <c r="AJ12" s="904">
        <v>7.923076923076923</v>
      </c>
      <c r="AK12" s="829"/>
      <c r="AL12" s="898">
        <v>8.583333333333334</v>
      </c>
      <c r="AM12" s="829"/>
      <c r="AN12" s="902">
        <v>8.272727272727273</v>
      </c>
      <c r="AO12" s="829"/>
      <c r="AP12" s="903">
        <v>6.857142857142857</v>
      </c>
      <c r="AQ12" s="829"/>
      <c r="AR12" s="904">
        <v>7.857142857142857</v>
      </c>
      <c r="AS12" s="829"/>
      <c r="AT12" s="900">
        <v>7.428571428571429</v>
      </c>
      <c r="AU12" s="893"/>
      <c r="AV12" s="893"/>
    </row>
    <row r="13" ht="45.0" customHeight="1">
      <c r="B13" s="909" t="s">
        <v>235</v>
      </c>
      <c r="C13" s="829"/>
      <c r="D13" s="898">
        <v>8.818181818181818</v>
      </c>
      <c r="E13" s="829"/>
      <c r="F13" s="902">
        <v>8.454545454545455</v>
      </c>
      <c r="G13" s="829"/>
      <c r="H13" s="898">
        <v>8.583333333333334</v>
      </c>
      <c r="I13" s="829"/>
      <c r="J13" s="898">
        <v>8.7</v>
      </c>
      <c r="K13" s="829"/>
      <c r="L13" s="898">
        <v>8.714285714285714</v>
      </c>
      <c r="M13" s="829"/>
      <c r="N13" s="904">
        <v>7.571428571428571</v>
      </c>
      <c r="O13" s="829"/>
      <c r="P13" s="904">
        <v>7.857142857142857</v>
      </c>
      <c r="Q13" s="829"/>
      <c r="R13" s="902">
        <v>8.25</v>
      </c>
      <c r="S13" s="829"/>
      <c r="T13" s="904">
        <v>7.733333333333333</v>
      </c>
      <c r="U13" s="829"/>
      <c r="V13" s="904">
        <v>7.583333333333333</v>
      </c>
      <c r="W13" s="829"/>
      <c r="X13" s="898">
        <v>8.692307692307692</v>
      </c>
      <c r="Y13" s="829"/>
      <c r="Z13" s="898">
        <v>8.529411764705882</v>
      </c>
      <c r="AA13" s="829"/>
      <c r="AB13" s="900">
        <v>7.3076923076923075</v>
      </c>
      <c r="AC13" s="829"/>
      <c r="AD13" s="904">
        <v>7.733333333333333</v>
      </c>
      <c r="AE13" s="829"/>
      <c r="AF13" s="903">
        <v>7.0</v>
      </c>
      <c r="AG13" s="829"/>
      <c r="AH13" s="898">
        <v>8.666666666666666</v>
      </c>
      <c r="AI13" s="829"/>
      <c r="AJ13" s="903">
        <v>6.923076923076923</v>
      </c>
      <c r="AK13" s="829"/>
      <c r="AL13" s="898">
        <v>8.75</v>
      </c>
      <c r="AM13" s="829"/>
      <c r="AN13" s="902">
        <v>8.363636363636363</v>
      </c>
      <c r="AO13" s="829"/>
      <c r="AP13" s="900">
        <v>7.285714285714286</v>
      </c>
      <c r="AQ13" s="829"/>
      <c r="AR13" s="902">
        <v>8.428571428571429</v>
      </c>
      <c r="AS13" s="829"/>
      <c r="AT13" s="904">
        <v>7.571428571428571</v>
      </c>
      <c r="AU13" s="893"/>
      <c r="AV13" s="893"/>
    </row>
    <row r="14" ht="45.0" customHeight="1">
      <c r="B14" s="909" t="s">
        <v>339</v>
      </c>
      <c r="C14" s="838"/>
      <c r="D14" s="904">
        <v>7.809523809523809</v>
      </c>
      <c r="E14" s="838"/>
      <c r="F14" s="904">
        <v>7.761904761904762</v>
      </c>
      <c r="G14" s="838"/>
      <c r="H14" s="902">
        <v>8.166666666666666</v>
      </c>
      <c r="I14" s="838"/>
      <c r="J14" s="904">
        <v>7.8</v>
      </c>
      <c r="K14" s="838"/>
      <c r="L14" s="904">
        <v>7.571428571428571</v>
      </c>
      <c r="M14" s="838"/>
      <c r="N14" s="900">
        <v>7.428571428571429</v>
      </c>
      <c r="O14" s="838"/>
      <c r="P14" s="904">
        <v>7.571428571428571</v>
      </c>
      <c r="Q14" s="838"/>
      <c r="R14" s="902">
        <v>8.5</v>
      </c>
      <c r="S14" s="838"/>
      <c r="T14" s="904">
        <v>7.6</v>
      </c>
      <c r="U14" s="838"/>
      <c r="V14" s="900">
        <v>7.166666666666667</v>
      </c>
      <c r="W14" s="838"/>
      <c r="X14" s="902">
        <v>8.384615384615385</v>
      </c>
      <c r="Y14" s="838"/>
      <c r="Z14" s="902">
        <v>8.117647058823529</v>
      </c>
      <c r="AA14" s="838"/>
      <c r="AB14" s="900">
        <v>7.153846153846154</v>
      </c>
      <c r="AC14" s="838"/>
      <c r="AD14" s="902">
        <v>8.133333333333333</v>
      </c>
      <c r="AE14" s="838"/>
      <c r="AF14" s="904">
        <v>7.666666666666667</v>
      </c>
      <c r="AG14" s="838"/>
      <c r="AH14" s="904">
        <v>7.733333333333333</v>
      </c>
      <c r="AI14" s="838"/>
      <c r="AJ14" s="900">
        <v>7.153846153846154</v>
      </c>
      <c r="AK14" s="838"/>
      <c r="AL14" s="902">
        <v>8.083333333333334</v>
      </c>
      <c r="AM14" s="838"/>
      <c r="AN14" s="902">
        <v>8.181818181818182</v>
      </c>
      <c r="AO14" s="838"/>
      <c r="AP14" s="904">
        <v>8.0</v>
      </c>
      <c r="AQ14" s="838"/>
      <c r="AR14" s="900">
        <v>7.142857142857143</v>
      </c>
      <c r="AS14" s="838"/>
      <c r="AT14" s="903">
        <v>6.714285714285714</v>
      </c>
      <c r="AU14" s="893"/>
      <c r="AV14" s="893"/>
    </row>
    <row r="15" ht="45.0" customHeight="1">
      <c r="A15" s="911" t="s">
        <v>42</v>
      </c>
      <c r="B15" s="912" t="s">
        <v>41</v>
      </c>
      <c r="C15" s="901">
        <f>AVERAGE(D15:D20)</f>
        <v>8.28907496</v>
      </c>
      <c r="D15" s="898">
        <v>8.590909090909092</v>
      </c>
      <c r="E15" s="901">
        <f>AVERAGE(F15:F20)</f>
        <v>8.204545455</v>
      </c>
      <c r="F15" s="902">
        <v>8.227272727272727</v>
      </c>
      <c r="G15" s="901">
        <f>AVERAGE(H15:H20)</f>
        <v>8.291666667</v>
      </c>
      <c r="H15" s="902">
        <v>8.333333333333334</v>
      </c>
      <c r="I15" s="899">
        <f>AVERAGE(J15:J20)</f>
        <v>7.733333333</v>
      </c>
      <c r="J15" s="904">
        <v>7.9</v>
      </c>
      <c r="K15" s="899">
        <f>AVERAGE(L15:L20)</f>
        <v>7.80952381</v>
      </c>
      <c r="L15" s="904">
        <v>7.857142857142857</v>
      </c>
      <c r="M15" s="905">
        <f>AVERAGE(N15:N20)</f>
        <v>7.428571429</v>
      </c>
      <c r="N15" s="900">
        <v>7.285714285714286</v>
      </c>
      <c r="O15" s="899">
        <f>AVERAGE(P15:P20)</f>
        <v>7.738095238</v>
      </c>
      <c r="P15" s="904">
        <v>7.571428571428571</v>
      </c>
      <c r="Q15" s="901">
        <f>AVERAGE(R15:R20)</f>
        <v>8.305555556</v>
      </c>
      <c r="R15" s="902">
        <v>8.166666666666666</v>
      </c>
      <c r="S15" s="899">
        <f>AVERAGE(T15:T20)</f>
        <v>7.66984127</v>
      </c>
      <c r="T15" s="904">
        <v>7.8</v>
      </c>
      <c r="U15" s="906">
        <f>AVERAGE(V15:V20)</f>
        <v>6.861111111</v>
      </c>
      <c r="V15" s="907">
        <v>6.5</v>
      </c>
      <c r="W15" s="901">
        <f>AVERAGE(X15:X20)</f>
        <v>8.358974359</v>
      </c>
      <c r="X15" s="898">
        <v>8.615384615384615</v>
      </c>
      <c r="Y15" s="901">
        <f>AVERAGE(Z15:Z20)</f>
        <v>8.091911765</v>
      </c>
      <c r="Z15" s="898">
        <v>8.588235294117647</v>
      </c>
      <c r="AA15" s="905">
        <f>AVERAGE(AB15:AB20)</f>
        <v>7.102564103</v>
      </c>
      <c r="AB15" s="903">
        <v>6.6923076923076925</v>
      </c>
      <c r="AC15" s="901">
        <f>AVERAGE(AD15:AD20)</f>
        <v>8.311904762</v>
      </c>
      <c r="AD15" s="902">
        <v>8.066666666666666</v>
      </c>
      <c r="AE15" s="905">
        <f>AVERAGE(AF15:AF20)</f>
        <v>7.458333333</v>
      </c>
      <c r="AF15" s="903">
        <v>7.0</v>
      </c>
      <c r="AG15" s="901">
        <f>AVERAGE(AH15:AH20)</f>
        <v>8.366666667</v>
      </c>
      <c r="AH15" s="898">
        <v>8.6</v>
      </c>
      <c r="AI15" s="905">
        <f>AVERAGE(AJ15:AJ20)</f>
        <v>7.269230769</v>
      </c>
      <c r="AJ15" s="903">
        <v>6.846153846153846</v>
      </c>
      <c r="AK15" s="897">
        <f>AVERAGE(AL15:AL20)</f>
        <v>8.722222222</v>
      </c>
      <c r="AL15" s="898">
        <v>9.166666666666666</v>
      </c>
      <c r="AM15" s="901">
        <f>AVERAGE(AN15:AN20)</f>
        <v>8.257575758</v>
      </c>
      <c r="AN15" s="898">
        <v>8.727272727272727</v>
      </c>
      <c r="AO15" s="905">
        <f>AVERAGE(AP15:AP20)</f>
        <v>7.357142857</v>
      </c>
      <c r="AP15" s="903">
        <v>6.714285714285714</v>
      </c>
      <c r="AQ15" s="905">
        <f>AVERAGE(AR15:AR20)</f>
        <v>7.5</v>
      </c>
      <c r="AR15" s="904">
        <v>7.571428571428571</v>
      </c>
      <c r="AS15" s="906">
        <f>AVERAGE(AT15:AT20)</f>
        <v>6.880952381</v>
      </c>
      <c r="AT15" s="903">
        <v>6.571428571428571</v>
      </c>
      <c r="AU15" s="893"/>
      <c r="AV15" s="893"/>
    </row>
    <row r="16" ht="45.0" customHeight="1">
      <c r="B16" s="912" t="s">
        <v>203</v>
      </c>
      <c r="C16" s="829"/>
      <c r="D16" s="902">
        <v>8.318181818181818</v>
      </c>
      <c r="E16" s="829"/>
      <c r="F16" s="902">
        <v>8.227272727272727</v>
      </c>
      <c r="G16" s="829"/>
      <c r="H16" s="904">
        <v>8.0</v>
      </c>
      <c r="I16" s="829"/>
      <c r="J16" s="900">
        <v>7.2</v>
      </c>
      <c r="K16" s="829"/>
      <c r="L16" s="903">
        <v>7.0</v>
      </c>
      <c r="M16" s="829"/>
      <c r="N16" s="900">
        <v>7.285714285714286</v>
      </c>
      <c r="O16" s="829"/>
      <c r="P16" s="900">
        <v>7.428571428571429</v>
      </c>
      <c r="Q16" s="829"/>
      <c r="R16" s="902">
        <v>8.25</v>
      </c>
      <c r="S16" s="829"/>
      <c r="T16" s="904">
        <v>7.8</v>
      </c>
      <c r="U16" s="829"/>
      <c r="V16" s="903">
        <v>6.833333333333333</v>
      </c>
      <c r="W16" s="829"/>
      <c r="X16" s="898">
        <v>8.692307692307692</v>
      </c>
      <c r="Y16" s="829"/>
      <c r="Z16" s="902">
        <v>8.058823529411764</v>
      </c>
      <c r="AA16" s="829"/>
      <c r="AB16" s="903">
        <v>6.846153846153846</v>
      </c>
      <c r="AC16" s="829"/>
      <c r="AD16" s="898">
        <v>8.533333333333333</v>
      </c>
      <c r="AE16" s="829"/>
      <c r="AF16" s="900">
        <v>7.416666666666667</v>
      </c>
      <c r="AG16" s="829"/>
      <c r="AH16" s="902">
        <v>8.2</v>
      </c>
      <c r="AI16" s="829"/>
      <c r="AJ16" s="900">
        <v>7.384615384615385</v>
      </c>
      <c r="AK16" s="829"/>
      <c r="AL16" s="898">
        <v>9.0</v>
      </c>
      <c r="AM16" s="829"/>
      <c r="AN16" s="902">
        <v>8.272727272727273</v>
      </c>
      <c r="AO16" s="829"/>
      <c r="AP16" s="904">
        <v>7.714285714285714</v>
      </c>
      <c r="AQ16" s="829"/>
      <c r="AR16" s="904">
        <v>7.714285714285714</v>
      </c>
      <c r="AS16" s="829"/>
      <c r="AT16" s="903">
        <v>6.857142857142857</v>
      </c>
      <c r="AU16" s="893"/>
      <c r="AV16" s="893"/>
    </row>
    <row r="17" ht="45.0" customHeight="1">
      <c r="B17" s="912" t="s">
        <v>204</v>
      </c>
      <c r="C17" s="829"/>
      <c r="D17" s="904">
        <v>7.818181818181818</v>
      </c>
      <c r="E17" s="829"/>
      <c r="F17" s="902">
        <v>8.227272727272727</v>
      </c>
      <c r="G17" s="829"/>
      <c r="H17" s="904">
        <v>7.916666666666667</v>
      </c>
      <c r="I17" s="829"/>
      <c r="J17" s="902">
        <v>8.4</v>
      </c>
      <c r="K17" s="829"/>
      <c r="L17" s="902">
        <v>8.142857142857142</v>
      </c>
      <c r="M17" s="829"/>
      <c r="N17" s="904">
        <v>7.857142857142857</v>
      </c>
      <c r="O17" s="829"/>
      <c r="P17" s="902">
        <v>8.142857142857142</v>
      </c>
      <c r="Q17" s="829"/>
      <c r="R17" s="902">
        <v>8.416666666666666</v>
      </c>
      <c r="S17" s="829"/>
      <c r="T17" s="904">
        <v>7.933333333333334</v>
      </c>
      <c r="U17" s="829"/>
      <c r="V17" s="904">
        <v>7.666666666666667</v>
      </c>
      <c r="W17" s="829"/>
      <c r="X17" s="904">
        <v>7.923076923076923</v>
      </c>
      <c r="Y17" s="829"/>
      <c r="Z17" s="902">
        <v>8.176470588235293</v>
      </c>
      <c r="AA17" s="829"/>
      <c r="AB17" s="902">
        <v>8.076923076923077</v>
      </c>
      <c r="AC17" s="829"/>
      <c r="AD17" s="898">
        <v>8.6</v>
      </c>
      <c r="AE17" s="829"/>
      <c r="AF17" s="902">
        <v>8.083333333333334</v>
      </c>
      <c r="AG17" s="829"/>
      <c r="AH17" s="904">
        <v>7.933333333333334</v>
      </c>
      <c r="AI17" s="829"/>
      <c r="AJ17" s="902">
        <v>8.076923076923077</v>
      </c>
      <c r="AK17" s="829"/>
      <c r="AL17" s="902">
        <v>8.25</v>
      </c>
      <c r="AM17" s="829"/>
      <c r="AN17" s="904">
        <v>7.636363636363637</v>
      </c>
      <c r="AO17" s="829"/>
      <c r="AP17" s="900">
        <v>7.285714285714286</v>
      </c>
      <c r="AQ17" s="829"/>
      <c r="AR17" s="902">
        <v>8.142857142857142</v>
      </c>
      <c r="AS17" s="829"/>
      <c r="AT17" s="904">
        <v>8.0</v>
      </c>
      <c r="AU17" s="893"/>
      <c r="AV17" s="893"/>
    </row>
    <row r="18" ht="45.0" customHeight="1">
      <c r="B18" s="912" t="s">
        <v>205</v>
      </c>
      <c r="C18" s="829"/>
      <c r="D18" s="902">
        <v>8.409090909090908</v>
      </c>
      <c r="E18" s="829"/>
      <c r="F18" s="904">
        <v>8.0</v>
      </c>
      <c r="G18" s="829"/>
      <c r="H18" s="898">
        <v>8.833333333333334</v>
      </c>
      <c r="I18" s="829"/>
      <c r="J18" s="900">
        <v>7.2</v>
      </c>
      <c r="K18" s="829"/>
      <c r="L18" s="904">
        <v>7.714285714285714</v>
      </c>
      <c r="M18" s="829"/>
      <c r="N18" s="903">
        <v>7.0</v>
      </c>
      <c r="O18" s="829"/>
      <c r="P18" s="904">
        <v>7.571428571428571</v>
      </c>
      <c r="Q18" s="829"/>
      <c r="R18" s="898">
        <v>8.583333333333334</v>
      </c>
      <c r="S18" s="829"/>
      <c r="T18" s="900">
        <v>7.285714285714286</v>
      </c>
      <c r="U18" s="829"/>
      <c r="V18" s="907">
        <v>6.083333333333333</v>
      </c>
      <c r="W18" s="829"/>
      <c r="X18" s="902">
        <v>8.23076923076923</v>
      </c>
      <c r="Y18" s="829"/>
      <c r="Z18" s="900">
        <v>7.375</v>
      </c>
      <c r="AA18" s="829"/>
      <c r="AB18" s="903">
        <v>6.538461538461538</v>
      </c>
      <c r="AC18" s="829"/>
      <c r="AD18" s="902">
        <v>8.071428571428571</v>
      </c>
      <c r="AE18" s="829"/>
      <c r="AF18" s="900">
        <v>7.166666666666667</v>
      </c>
      <c r="AG18" s="829"/>
      <c r="AH18" s="898">
        <v>8.933333333333334</v>
      </c>
      <c r="AI18" s="829"/>
      <c r="AJ18" s="903">
        <v>6.6923076923076925</v>
      </c>
      <c r="AK18" s="829"/>
      <c r="AL18" s="898">
        <v>8.916666666666666</v>
      </c>
      <c r="AM18" s="829"/>
      <c r="AN18" s="904">
        <v>7.7272727272727275</v>
      </c>
      <c r="AO18" s="829"/>
      <c r="AP18" s="900">
        <v>7.142857142857143</v>
      </c>
      <c r="AQ18" s="829"/>
      <c r="AR18" s="907">
        <v>6.428571428571429</v>
      </c>
      <c r="AS18" s="829"/>
      <c r="AT18" s="907">
        <v>6.142857142857143</v>
      </c>
      <c r="AU18" s="893"/>
      <c r="AV18" s="893"/>
    </row>
    <row r="19" ht="45.0" customHeight="1">
      <c r="B19" s="913" t="s">
        <v>399</v>
      </c>
      <c r="C19" s="829"/>
      <c r="D19" s="902">
        <v>8.052631578947368</v>
      </c>
      <c r="E19" s="829"/>
      <c r="F19" s="904">
        <v>8.0</v>
      </c>
      <c r="G19" s="829"/>
      <c r="H19" s="902">
        <v>8.083333333333334</v>
      </c>
      <c r="I19" s="829"/>
      <c r="J19" s="904">
        <v>8.0</v>
      </c>
      <c r="K19" s="829"/>
      <c r="L19" s="904">
        <v>8.0</v>
      </c>
      <c r="M19" s="829"/>
      <c r="N19" s="900">
        <v>7.285714285714286</v>
      </c>
      <c r="O19" s="829"/>
      <c r="P19" s="904">
        <v>7.857142857142857</v>
      </c>
      <c r="Q19" s="829"/>
      <c r="R19" s="902">
        <v>8.5</v>
      </c>
      <c r="S19" s="829"/>
      <c r="T19" s="900">
        <v>7.4</v>
      </c>
      <c r="U19" s="829"/>
      <c r="V19" s="903">
        <v>6.75</v>
      </c>
      <c r="W19" s="829"/>
      <c r="X19" s="902">
        <v>8.461538461538462</v>
      </c>
      <c r="Y19" s="829"/>
      <c r="Z19" s="902">
        <v>8.058823529411764</v>
      </c>
      <c r="AA19" s="829"/>
      <c r="AB19" s="903">
        <v>6.923076923076923</v>
      </c>
      <c r="AC19" s="829"/>
      <c r="AD19" s="902">
        <v>8.466666666666667</v>
      </c>
      <c r="AE19" s="829"/>
      <c r="AF19" s="904">
        <v>7.583333333333333</v>
      </c>
      <c r="AG19" s="829"/>
      <c r="AH19" s="902">
        <v>8.2</v>
      </c>
      <c r="AI19" s="829"/>
      <c r="AJ19" s="900">
        <v>7.153846153846154</v>
      </c>
      <c r="AK19" s="829"/>
      <c r="AL19" s="902">
        <v>8.416666666666666</v>
      </c>
      <c r="AM19" s="829"/>
      <c r="AN19" s="898">
        <v>8.909090909090908</v>
      </c>
      <c r="AO19" s="829"/>
      <c r="AP19" s="904">
        <v>7.857142857142857</v>
      </c>
      <c r="AQ19" s="829"/>
      <c r="AR19" s="900">
        <v>7.285714285714286</v>
      </c>
      <c r="AS19" s="829"/>
      <c r="AT19" s="903">
        <v>7.0</v>
      </c>
      <c r="AU19" s="893"/>
      <c r="AV19" s="893"/>
    </row>
    <row r="20" ht="45.0" customHeight="1">
      <c r="B20" s="913" t="s">
        <v>400</v>
      </c>
      <c r="C20" s="838"/>
      <c r="D20" s="898">
        <v>8.545454545454545</v>
      </c>
      <c r="E20" s="838"/>
      <c r="F20" s="898">
        <v>8.545454545454545</v>
      </c>
      <c r="G20" s="838"/>
      <c r="H20" s="898">
        <v>8.583333333333334</v>
      </c>
      <c r="I20" s="838"/>
      <c r="J20" s="904">
        <v>7.7</v>
      </c>
      <c r="K20" s="838"/>
      <c r="L20" s="902">
        <v>8.142857142857142</v>
      </c>
      <c r="M20" s="838"/>
      <c r="N20" s="904">
        <v>7.857142857142857</v>
      </c>
      <c r="O20" s="838"/>
      <c r="P20" s="904">
        <v>7.857142857142857</v>
      </c>
      <c r="Q20" s="838"/>
      <c r="R20" s="904">
        <v>7.916666666666667</v>
      </c>
      <c r="S20" s="838"/>
      <c r="T20" s="904">
        <v>7.8</v>
      </c>
      <c r="U20" s="838"/>
      <c r="V20" s="900">
        <v>7.333333333333333</v>
      </c>
      <c r="W20" s="838"/>
      <c r="X20" s="902">
        <v>8.23076923076923</v>
      </c>
      <c r="Y20" s="838"/>
      <c r="Z20" s="902">
        <v>8.294117647058824</v>
      </c>
      <c r="AA20" s="838"/>
      <c r="AB20" s="904">
        <v>7.538461538461538</v>
      </c>
      <c r="AC20" s="838"/>
      <c r="AD20" s="902">
        <v>8.133333333333333</v>
      </c>
      <c r="AE20" s="838"/>
      <c r="AF20" s="900">
        <v>7.5</v>
      </c>
      <c r="AG20" s="838"/>
      <c r="AH20" s="902">
        <v>8.333333333333334</v>
      </c>
      <c r="AI20" s="838"/>
      <c r="AJ20" s="900">
        <v>7.461538461538462</v>
      </c>
      <c r="AK20" s="838"/>
      <c r="AL20" s="898">
        <v>8.583333333333334</v>
      </c>
      <c r="AM20" s="838"/>
      <c r="AN20" s="902">
        <v>8.272727272727273</v>
      </c>
      <c r="AO20" s="838"/>
      <c r="AP20" s="900">
        <v>7.428571428571429</v>
      </c>
      <c r="AQ20" s="838"/>
      <c r="AR20" s="904">
        <v>7.857142857142857</v>
      </c>
      <c r="AS20" s="838"/>
      <c r="AT20" s="903">
        <v>6.714285714285714</v>
      </c>
      <c r="AU20" s="893"/>
      <c r="AV20" s="893"/>
    </row>
    <row r="21" ht="45.0" customHeight="1">
      <c r="A21" s="914" t="s">
        <v>49</v>
      </c>
      <c r="B21" s="915" t="s">
        <v>401</v>
      </c>
      <c r="C21" s="897">
        <f>AVERAGE(D21:D24)</f>
        <v>8.610930736</v>
      </c>
      <c r="D21" s="898">
        <v>8.772727272727273</v>
      </c>
      <c r="E21" s="901">
        <f>AVERAGE(F21:F24)</f>
        <v>8.194264069</v>
      </c>
      <c r="F21" s="902">
        <v>8.318181818181818</v>
      </c>
      <c r="G21" s="901">
        <f>AVERAGE(H21:H24)</f>
        <v>8.125</v>
      </c>
      <c r="H21" s="902">
        <v>8.25</v>
      </c>
      <c r="I21" s="905">
        <f>AVERAGE(J21:J24)</f>
        <v>7.5</v>
      </c>
      <c r="J21" s="900">
        <v>7.5</v>
      </c>
      <c r="K21" s="901">
        <f>AVERAGE(L21:L24)</f>
        <v>8.214285714</v>
      </c>
      <c r="L21" s="898">
        <v>8.571428571428571</v>
      </c>
      <c r="M21" s="901">
        <f>AVERAGE(N21:N24)</f>
        <v>8.428571429</v>
      </c>
      <c r="N21" s="898">
        <v>9.0</v>
      </c>
      <c r="O21" s="901">
        <f>AVERAGE(P21:P24)</f>
        <v>8.071428571</v>
      </c>
      <c r="P21" s="902">
        <v>8.428571428571429</v>
      </c>
      <c r="Q21" s="899">
        <f>AVERAGE(R21:R24)</f>
        <v>7.875</v>
      </c>
      <c r="R21" s="902">
        <v>8.083333333333334</v>
      </c>
      <c r="S21" s="901">
        <f>AVERAGE(T21:T24)</f>
        <v>8.273809524</v>
      </c>
      <c r="T21" s="898">
        <v>8.666666666666666</v>
      </c>
      <c r="U21" s="916">
        <f>AVERAGE(V21:V24)</f>
        <v>6.479166667</v>
      </c>
      <c r="V21" s="907">
        <v>6.333333333333333</v>
      </c>
      <c r="W21" s="897">
        <f>AVERAGE(X21:X24)</f>
        <v>8.519230769</v>
      </c>
      <c r="X21" s="898">
        <v>8.76923076923077</v>
      </c>
      <c r="Y21" s="897">
        <f>AVERAGE(Z21:Z24)</f>
        <v>8.537683824</v>
      </c>
      <c r="Z21" s="898">
        <v>8.764705882352942</v>
      </c>
      <c r="AA21" s="901">
        <f>AVERAGE(AB21:AB24)</f>
        <v>8.307692308</v>
      </c>
      <c r="AB21" s="902">
        <v>8.384615384615385</v>
      </c>
      <c r="AC21" s="897">
        <f>AVERAGE(AD21:AD24)</f>
        <v>8.816666667</v>
      </c>
      <c r="AD21" s="898">
        <v>9.0</v>
      </c>
      <c r="AE21" s="897">
        <f>AVERAGE(AF21:AF24)</f>
        <v>8.9375</v>
      </c>
      <c r="AF21" s="898">
        <v>9.166666666666666</v>
      </c>
      <c r="AG21" s="899">
        <f>AVERAGE(AH21:AH24)</f>
        <v>7.633333333</v>
      </c>
      <c r="AH21" s="904">
        <v>7.933333333333334</v>
      </c>
      <c r="AI21" s="901">
        <f>AVERAGE(AJ21:AJ24)</f>
        <v>8.423076923</v>
      </c>
      <c r="AJ21" s="898">
        <v>8.692307692307692</v>
      </c>
      <c r="AK21" s="897">
        <f>AVERAGE(AL21:AL24)</f>
        <v>8.916666667</v>
      </c>
      <c r="AL21" s="898">
        <v>9.166666666666666</v>
      </c>
      <c r="AM21" s="899">
        <f>AVERAGE(AN21:AN24)</f>
        <v>7.886363636</v>
      </c>
      <c r="AN21" s="902">
        <v>8.181818181818182</v>
      </c>
      <c r="AO21" s="899">
        <f>AVERAGE(AP21:AP24)</f>
        <v>7.642857143</v>
      </c>
      <c r="AP21" s="904">
        <v>7.857142857142857</v>
      </c>
      <c r="AQ21" s="906">
        <f>AVERAGE(AR21:AR24)</f>
        <v>7</v>
      </c>
      <c r="AR21" s="903">
        <v>7.0</v>
      </c>
      <c r="AS21" s="906">
        <f>AVERAGE(AT21:AT24)</f>
        <v>6.678571429</v>
      </c>
      <c r="AT21" s="903">
        <v>6.571428571428571</v>
      </c>
      <c r="AU21" s="893"/>
      <c r="AV21" s="893"/>
    </row>
    <row r="22" ht="45.0" customHeight="1">
      <c r="B22" s="917" t="s">
        <v>208</v>
      </c>
      <c r="C22" s="829"/>
      <c r="D22" s="902">
        <v>8.136363636363637</v>
      </c>
      <c r="E22" s="829"/>
      <c r="F22" s="902">
        <v>8.409090909090908</v>
      </c>
      <c r="G22" s="829"/>
      <c r="H22" s="904">
        <v>7.833333333333333</v>
      </c>
      <c r="I22" s="829"/>
      <c r="J22" s="902">
        <v>8.5</v>
      </c>
      <c r="K22" s="829"/>
      <c r="L22" s="904">
        <v>7.714285714285714</v>
      </c>
      <c r="M22" s="829"/>
      <c r="N22" s="904">
        <v>8.0</v>
      </c>
      <c r="O22" s="829"/>
      <c r="P22" s="898">
        <v>8.571428571428571</v>
      </c>
      <c r="Q22" s="829"/>
      <c r="R22" s="902">
        <v>8.5</v>
      </c>
      <c r="S22" s="829"/>
      <c r="T22" s="904">
        <v>7.866666666666666</v>
      </c>
      <c r="U22" s="829"/>
      <c r="V22" s="902">
        <v>8.083333333333334</v>
      </c>
      <c r="W22" s="829"/>
      <c r="X22" s="902">
        <v>8.307692307692308</v>
      </c>
      <c r="Y22" s="829"/>
      <c r="Z22" s="898">
        <v>8.647058823529411</v>
      </c>
      <c r="AA22" s="829"/>
      <c r="AB22" s="902">
        <v>8.307692307692308</v>
      </c>
      <c r="AC22" s="829"/>
      <c r="AD22" s="902">
        <v>8.466666666666667</v>
      </c>
      <c r="AE22" s="829"/>
      <c r="AF22" s="902">
        <v>8.416666666666666</v>
      </c>
      <c r="AG22" s="829"/>
      <c r="AH22" s="904">
        <v>7.533333333333333</v>
      </c>
      <c r="AI22" s="829"/>
      <c r="AJ22" s="902">
        <v>8.153846153846153</v>
      </c>
      <c r="AK22" s="829"/>
      <c r="AL22" s="898">
        <v>8.583333333333334</v>
      </c>
      <c r="AM22" s="829"/>
      <c r="AN22" s="904">
        <v>7.909090909090909</v>
      </c>
      <c r="AO22" s="829"/>
      <c r="AP22" s="902">
        <v>8.142857142857142</v>
      </c>
      <c r="AQ22" s="829"/>
      <c r="AR22" s="902">
        <v>8.285714285714286</v>
      </c>
      <c r="AS22" s="829"/>
      <c r="AT22" s="904">
        <v>8.0</v>
      </c>
      <c r="AU22" s="893"/>
      <c r="AV22" s="893"/>
    </row>
    <row r="23" ht="45.0" customHeight="1">
      <c r="B23" s="917" t="s">
        <v>340</v>
      </c>
      <c r="C23" s="829"/>
      <c r="D23" s="898">
        <v>8.772727272727273</v>
      </c>
      <c r="E23" s="829"/>
      <c r="F23" s="904">
        <v>7.954545454545454</v>
      </c>
      <c r="G23" s="829"/>
      <c r="H23" s="902">
        <v>8.166666666666666</v>
      </c>
      <c r="I23" s="829"/>
      <c r="J23" s="903">
        <v>6.9</v>
      </c>
      <c r="K23" s="829"/>
      <c r="L23" s="904">
        <v>8.0</v>
      </c>
      <c r="M23" s="829"/>
      <c r="N23" s="902">
        <v>8.142857142857142</v>
      </c>
      <c r="O23" s="829"/>
      <c r="P23" s="900">
        <v>7.142857142857143</v>
      </c>
      <c r="Q23" s="829"/>
      <c r="R23" s="900">
        <v>7.5</v>
      </c>
      <c r="S23" s="829"/>
      <c r="T23" s="902">
        <v>8.133333333333333</v>
      </c>
      <c r="U23" s="829"/>
      <c r="V23" s="907">
        <v>5.75</v>
      </c>
      <c r="W23" s="829"/>
      <c r="X23" s="902">
        <v>8.23076923076923</v>
      </c>
      <c r="Y23" s="829"/>
      <c r="Z23" s="902">
        <v>8.176470588235293</v>
      </c>
      <c r="AA23" s="829"/>
      <c r="AB23" s="902">
        <v>8.076923076923077</v>
      </c>
      <c r="AC23" s="829"/>
      <c r="AD23" s="898">
        <v>8.8</v>
      </c>
      <c r="AE23" s="829"/>
      <c r="AF23" s="898">
        <v>9.083333333333334</v>
      </c>
      <c r="AG23" s="829"/>
      <c r="AH23" s="900">
        <v>7.266666666666667</v>
      </c>
      <c r="AI23" s="829"/>
      <c r="AJ23" s="902">
        <v>8.384615384615385</v>
      </c>
      <c r="AK23" s="829"/>
      <c r="AL23" s="898">
        <v>8.916666666666666</v>
      </c>
      <c r="AM23" s="829"/>
      <c r="AN23" s="900">
        <v>7.363636363636363</v>
      </c>
      <c r="AO23" s="829"/>
      <c r="AP23" s="904">
        <v>7.571428571428571</v>
      </c>
      <c r="AQ23" s="829"/>
      <c r="AR23" s="903">
        <v>6.714285714285714</v>
      </c>
      <c r="AS23" s="829"/>
      <c r="AT23" s="903">
        <v>6.571428571428571</v>
      </c>
      <c r="AU23" s="893"/>
      <c r="AV23" s="893"/>
    </row>
    <row r="24" ht="45.0" customHeight="1">
      <c r="B24" s="917" t="s">
        <v>341</v>
      </c>
      <c r="C24" s="838"/>
      <c r="D24" s="898">
        <v>8.761904761904763</v>
      </c>
      <c r="E24" s="838"/>
      <c r="F24" s="902">
        <v>8.095238095238095</v>
      </c>
      <c r="G24" s="838"/>
      <c r="H24" s="902">
        <v>8.25</v>
      </c>
      <c r="I24" s="838"/>
      <c r="J24" s="900">
        <v>7.1</v>
      </c>
      <c r="K24" s="838"/>
      <c r="L24" s="898">
        <v>8.571428571428571</v>
      </c>
      <c r="M24" s="838"/>
      <c r="N24" s="898">
        <v>8.571428571428571</v>
      </c>
      <c r="O24" s="838"/>
      <c r="P24" s="902">
        <v>8.142857142857142</v>
      </c>
      <c r="Q24" s="838"/>
      <c r="R24" s="900">
        <v>7.416666666666667</v>
      </c>
      <c r="S24" s="838"/>
      <c r="T24" s="902">
        <v>8.428571428571429</v>
      </c>
      <c r="U24" s="838"/>
      <c r="V24" s="907">
        <v>5.75</v>
      </c>
      <c r="W24" s="838"/>
      <c r="X24" s="898">
        <v>8.76923076923077</v>
      </c>
      <c r="Y24" s="838"/>
      <c r="Z24" s="898">
        <v>8.5625</v>
      </c>
      <c r="AA24" s="838"/>
      <c r="AB24" s="902">
        <v>8.461538461538462</v>
      </c>
      <c r="AC24" s="838"/>
      <c r="AD24" s="898">
        <v>9.0</v>
      </c>
      <c r="AE24" s="838"/>
      <c r="AF24" s="898">
        <v>9.083333333333334</v>
      </c>
      <c r="AG24" s="838"/>
      <c r="AH24" s="904">
        <v>7.8</v>
      </c>
      <c r="AI24" s="838"/>
      <c r="AJ24" s="902">
        <v>8.461538461538462</v>
      </c>
      <c r="AK24" s="838"/>
      <c r="AL24" s="898">
        <v>9.0</v>
      </c>
      <c r="AM24" s="838"/>
      <c r="AN24" s="902">
        <v>8.090909090909092</v>
      </c>
      <c r="AO24" s="838"/>
      <c r="AP24" s="903">
        <v>7.0</v>
      </c>
      <c r="AQ24" s="838"/>
      <c r="AR24" s="907">
        <v>6.0</v>
      </c>
      <c r="AS24" s="838"/>
      <c r="AT24" s="907">
        <v>5.571428571428571</v>
      </c>
      <c r="AU24" s="893"/>
      <c r="AV24" s="893"/>
    </row>
    <row r="25" ht="45.0" customHeight="1">
      <c r="A25" s="855" t="s">
        <v>54</v>
      </c>
      <c r="B25" s="918" t="s">
        <v>402</v>
      </c>
      <c r="C25" s="901">
        <f>AVERAGE(D25:D29)</f>
        <v>8.287012987</v>
      </c>
      <c r="D25" s="902">
        <v>8.227272727272727</v>
      </c>
      <c r="E25" s="901">
        <f>AVERAGE(F25:F29)</f>
        <v>8.224935065</v>
      </c>
      <c r="F25" s="904">
        <v>7.954545454545454</v>
      </c>
      <c r="G25" s="901">
        <f>AVERAGE(H25:H29)</f>
        <v>8.1</v>
      </c>
      <c r="H25" s="904">
        <v>7.75</v>
      </c>
      <c r="I25" s="901">
        <f>AVERAGE(J25:J29)</f>
        <v>8.06</v>
      </c>
      <c r="J25" s="904">
        <v>7.6</v>
      </c>
      <c r="K25" s="901">
        <f>AVERAGE(L25:L29)</f>
        <v>8.028571429</v>
      </c>
      <c r="L25" s="904">
        <v>8.0</v>
      </c>
      <c r="M25" s="899">
        <f>AVERAGE(N25:N29)</f>
        <v>7.571428571</v>
      </c>
      <c r="N25" s="900">
        <v>7.285714285714286</v>
      </c>
      <c r="O25" s="899">
        <f>AVERAGE(P25:P29)</f>
        <v>7.914285714</v>
      </c>
      <c r="P25" s="900">
        <v>7.428571428571429</v>
      </c>
      <c r="Q25" s="901">
        <f>AVERAGE(R25:R29)</f>
        <v>8.5</v>
      </c>
      <c r="R25" s="902">
        <v>8.5</v>
      </c>
      <c r="S25" s="901">
        <f>AVERAGE(T25:T29)</f>
        <v>8.024761905</v>
      </c>
      <c r="T25" s="904">
        <v>7.8</v>
      </c>
      <c r="U25" s="905">
        <f>AVERAGE(V25:V29)</f>
        <v>7.333333333</v>
      </c>
      <c r="V25" s="900">
        <v>7.25</v>
      </c>
      <c r="W25" s="901">
        <f>AVERAGE(X25:X29)</f>
        <v>8.261538462</v>
      </c>
      <c r="X25" s="902">
        <v>8.153846153846153</v>
      </c>
      <c r="Y25" s="901">
        <f>AVERAGE(Z25:Z29)</f>
        <v>8.358823529</v>
      </c>
      <c r="Z25" s="902">
        <v>8.176470588235293</v>
      </c>
      <c r="AA25" s="899">
        <f>AVERAGE(AB25:AB29)</f>
        <v>7.523076923</v>
      </c>
      <c r="AB25" s="900">
        <v>7.384615384615385</v>
      </c>
      <c r="AC25" s="897">
        <f>AVERAGE(AD25:AD29)</f>
        <v>8.672380952</v>
      </c>
      <c r="AD25" s="898">
        <v>8.6</v>
      </c>
      <c r="AE25" s="899">
        <f>AVERAGE(AF25:AF29)</f>
        <v>7.65</v>
      </c>
      <c r="AF25" s="900">
        <v>7.416666666666667</v>
      </c>
      <c r="AG25" s="901">
        <f>AVERAGE(AH25:AH29)</f>
        <v>8.426666667</v>
      </c>
      <c r="AH25" s="902">
        <v>8.333333333333334</v>
      </c>
      <c r="AI25" s="899">
        <f>AVERAGE(AJ25:AJ29)</f>
        <v>7.846153846</v>
      </c>
      <c r="AJ25" s="900">
        <v>7.461538461538462</v>
      </c>
      <c r="AK25" s="897">
        <f>AVERAGE(AL25:AL29)</f>
        <v>8.666666667</v>
      </c>
      <c r="AL25" s="898">
        <v>8.583333333333334</v>
      </c>
      <c r="AM25" s="901">
        <f>AVERAGE(AN25:AN29)</f>
        <v>8.290909091</v>
      </c>
      <c r="AN25" s="904">
        <v>7.909090909090909</v>
      </c>
      <c r="AO25" s="905">
        <f>AVERAGE(AP25:AP29)</f>
        <v>7.085714286</v>
      </c>
      <c r="AP25" s="907">
        <v>6.285714285714286</v>
      </c>
      <c r="AQ25" s="899">
        <f>AVERAGE(AR25:AR29)</f>
        <v>7.771428571</v>
      </c>
      <c r="AR25" s="904">
        <v>7.571428571428571</v>
      </c>
      <c r="AS25" s="905">
        <f>AVERAGE(AT25:AT29)</f>
        <v>7.485714286</v>
      </c>
      <c r="AT25" s="900">
        <v>7.428571428571429</v>
      </c>
      <c r="AU25" s="893"/>
      <c r="AV25" s="893"/>
    </row>
    <row r="26" ht="45.0" customHeight="1">
      <c r="B26" s="919" t="s">
        <v>240</v>
      </c>
      <c r="C26" s="829"/>
      <c r="D26" s="902">
        <v>8.380952380952381</v>
      </c>
      <c r="E26" s="829"/>
      <c r="F26" s="902">
        <v>8.142857142857142</v>
      </c>
      <c r="G26" s="829"/>
      <c r="H26" s="902">
        <v>8.166666666666666</v>
      </c>
      <c r="I26" s="829"/>
      <c r="J26" s="904">
        <v>7.6</v>
      </c>
      <c r="K26" s="829"/>
      <c r="L26" s="904">
        <v>7.857142857142857</v>
      </c>
      <c r="M26" s="829"/>
      <c r="N26" s="903">
        <v>7.0</v>
      </c>
      <c r="O26" s="829"/>
      <c r="P26" s="904">
        <v>7.857142857142857</v>
      </c>
      <c r="Q26" s="829"/>
      <c r="R26" s="902">
        <v>8.5</v>
      </c>
      <c r="S26" s="829"/>
      <c r="T26" s="902">
        <v>8.066666666666666</v>
      </c>
      <c r="U26" s="829"/>
      <c r="V26" s="903">
        <v>6.75</v>
      </c>
      <c r="W26" s="829"/>
      <c r="X26" s="902">
        <v>8.23076923076923</v>
      </c>
      <c r="Y26" s="829"/>
      <c r="Z26" s="902">
        <v>8.058823529411764</v>
      </c>
      <c r="AA26" s="829"/>
      <c r="AB26" s="903">
        <v>6.923076923076923</v>
      </c>
      <c r="AC26" s="829"/>
      <c r="AD26" s="898">
        <v>9.0</v>
      </c>
      <c r="AE26" s="829"/>
      <c r="AF26" s="900">
        <v>7.166666666666667</v>
      </c>
      <c r="AG26" s="829"/>
      <c r="AH26" s="898">
        <v>8.933333333333334</v>
      </c>
      <c r="AI26" s="829"/>
      <c r="AJ26" s="904">
        <v>7.538461538461538</v>
      </c>
      <c r="AK26" s="829"/>
      <c r="AL26" s="898">
        <v>8.833333333333334</v>
      </c>
      <c r="AM26" s="829"/>
      <c r="AN26" s="902">
        <v>8.454545454545455</v>
      </c>
      <c r="AO26" s="829"/>
      <c r="AP26" s="907">
        <v>6.428571428571429</v>
      </c>
      <c r="AQ26" s="829"/>
      <c r="AR26" s="900">
        <v>7.428571428571429</v>
      </c>
      <c r="AS26" s="829"/>
      <c r="AT26" s="903">
        <v>7.0</v>
      </c>
      <c r="AU26" s="893"/>
      <c r="AV26" s="893"/>
    </row>
    <row r="27" ht="45.0" customHeight="1">
      <c r="B27" s="918" t="s">
        <v>403</v>
      </c>
      <c r="C27" s="829"/>
      <c r="D27" s="902">
        <v>8.409090909090908</v>
      </c>
      <c r="E27" s="829"/>
      <c r="F27" s="902">
        <v>8.363636363636363</v>
      </c>
      <c r="G27" s="829"/>
      <c r="H27" s="904">
        <v>7.75</v>
      </c>
      <c r="I27" s="829"/>
      <c r="J27" s="902">
        <v>8.3</v>
      </c>
      <c r="K27" s="829"/>
      <c r="L27" s="902">
        <v>8.428571428571429</v>
      </c>
      <c r="M27" s="829"/>
      <c r="N27" s="904">
        <v>7.571428571428571</v>
      </c>
      <c r="O27" s="829"/>
      <c r="P27" s="902">
        <v>8.142857142857142</v>
      </c>
      <c r="Q27" s="829"/>
      <c r="R27" s="902">
        <v>8.5</v>
      </c>
      <c r="S27" s="829"/>
      <c r="T27" s="904">
        <v>7.857142857142857</v>
      </c>
      <c r="U27" s="829"/>
      <c r="V27" s="904">
        <v>7.583333333333333</v>
      </c>
      <c r="W27" s="829"/>
      <c r="X27" s="902">
        <v>8.076923076923077</v>
      </c>
      <c r="Y27" s="829"/>
      <c r="Z27" s="902">
        <v>8.5</v>
      </c>
      <c r="AA27" s="829"/>
      <c r="AB27" s="902">
        <v>8.076923076923077</v>
      </c>
      <c r="AC27" s="829"/>
      <c r="AD27" s="902">
        <v>8.428571428571429</v>
      </c>
      <c r="AE27" s="829"/>
      <c r="AF27" s="902">
        <v>8.25</v>
      </c>
      <c r="AG27" s="829"/>
      <c r="AH27" s="902">
        <v>8.2</v>
      </c>
      <c r="AI27" s="829"/>
      <c r="AJ27" s="902">
        <v>8.384615384615385</v>
      </c>
      <c r="AK27" s="829"/>
      <c r="AL27" s="902">
        <v>8.333333333333334</v>
      </c>
      <c r="AM27" s="829"/>
      <c r="AN27" s="904">
        <v>7.545454545454546</v>
      </c>
      <c r="AO27" s="829"/>
      <c r="AP27" s="902">
        <v>8.142857142857142</v>
      </c>
      <c r="AQ27" s="829"/>
      <c r="AR27" s="904">
        <v>8.0</v>
      </c>
      <c r="AS27" s="829"/>
      <c r="AT27" s="904">
        <v>7.857142857142857</v>
      </c>
      <c r="AU27" s="893"/>
      <c r="AV27" s="893"/>
    </row>
    <row r="28" ht="45.0" customHeight="1">
      <c r="B28" s="918" t="s">
        <v>404</v>
      </c>
      <c r="C28" s="829"/>
      <c r="D28" s="902">
        <v>8.19047619047619</v>
      </c>
      <c r="E28" s="829"/>
      <c r="F28" s="902">
        <v>8.3</v>
      </c>
      <c r="G28" s="829"/>
      <c r="H28" s="898">
        <v>8.75</v>
      </c>
      <c r="I28" s="829"/>
      <c r="J28" s="902">
        <v>8.4</v>
      </c>
      <c r="K28" s="829"/>
      <c r="L28" s="902">
        <v>8.142857142857142</v>
      </c>
      <c r="M28" s="829"/>
      <c r="N28" s="904">
        <v>7.714285714285714</v>
      </c>
      <c r="O28" s="829"/>
      <c r="P28" s="904">
        <v>7.857142857142857</v>
      </c>
      <c r="Q28" s="829"/>
      <c r="R28" s="898">
        <v>8.583333333333334</v>
      </c>
      <c r="S28" s="829"/>
      <c r="T28" s="902">
        <v>8.266666666666667</v>
      </c>
      <c r="U28" s="829"/>
      <c r="V28" s="900">
        <v>7.25</v>
      </c>
      <c r="W28" s="829"/>
      <c r="X28" s="902">
        <v>8.461538461538462</v>
      </c>
      <c r="Y28" s="829"/>
      <c r="Z28" s="902">
        <v>8.352941176470589</v>
      </c>
      <c r="AA28" s="829"/>
      <c r="AB28" s="900">
        <v>7.153846153846154</v>
      </c>
      <c r="AC28" s="829"/>
      <c r="AD28" s="898">
        <v>8.733333333333333</v>
      </c>
      <c r="AE28" s="829"/>
      <c r="AF28" s="900">
        <v>7.25</v>
      </c>
      <c r="AG28" s="829"/>
      <c r="AH28" s="898">
        <v>8.533333333333333</v>
      </c>
      <c r="AI28" s="829"/>
      <c r="AJ28" s="904">
        <v>7.538461538461538</v>
      </c>
      <c r="AK28" s="829"/>
      <c r="AL28" s="898">
        <v>9.083333333333334</v>
      </c>
      <c r="AM28" s="829"/>
      <c r="AN28" s="898">
        <v>8.818181818181818</v>
      </c>
      <c r="AO28" s="829"/>
      <c r="AP28" s="903">
        <v>6.571428571428571</v>
      </c>
      <c r="AQ28" s="829"/>
      <c r="AR28" s="904">
        <v>7.857142857142857</v>
      </c>
      <c r="AS28" s="829"/>
      <c r="AT28" s="900">
        <v>7.142857142857143</v>
      </c>
      <c r="AU28" s="893"/>
      <c r="AV28" s="893"/>
    </row>
    <row r="29" ht="45.0" customHeight="1">
      <c r="B29" s="919" t="s">
        <v>282</v>
      </c>
      <c r="C29" s="838"/>
      <c r="D29" s="902">
        <v>8.227272727272727</v>
      </c>
      <c r="E29" s="838"/>
      <c r="F29" s="902">
        <v>8.363636363636363</v>
      </c>
      <c r="G29" s="838"/>
      <c r="H29" s="902">
        <v>8.083333333333334</v>
      </c>
      <c r="I29" s="838"/>
      <c r="J29" s="902">
        <v>8.4</v>
      </c>
      <c r="K29" s="838"/>
      <c r="L29" s="904">
        <v>7.714285714285714</v>
      </c>
      <c r="M29" s="838"/>
      <c r="N29" s="902">
        <v>8.285714285714286</v>
      </c>
      <c r="O29" s="838"/>
      <c r="P29" s="902">
        <v>8.285714285714286</v>
      </c>
      <c r="Q29" s="838"/>
      <c r="R29" s="902">
        <v>8.416666666666666</v>
      </c>
      <c r="S29" s="838"/>
      <c r="T29" s="902">
        <v>8.133333333333333</v>
      </c>
      <c r="U29" s="838"/>
      <c r="V29" s="904">
        <v>7.833333333333333</v>
      </c>
      <c r="W29" s="838"/>
      <c r="X29" s="902">
        <v>8.384615384615385</v>
      </c>
      <c r="Y29" s="838"/>
      <c r="Z29" s="898">
        <v>8.705882352941176</v>
      </c>
      <c r="AA29" s="838"/>
      <c r="AB29" s="902">
        <v>8.076923076923077</v>
      </c>
      <c r="AC29" s="838"/>
      <c r="AD29" s="898">
        <v>8.6</v>
      </c>
      <c r="AE29" s="838"/>
      <c r="AF29" s="902">
        <v>8.166666666666666</v>
      </c>
      <c r="AG29" s="838"/>
      <c r="AH29" s="902">
        <v>8.133333333333333</v>
      </c>
      <c r="AI29" s="838"/>
      <c r="AJ29" s="902">
        <v>8.307692307692308</v>
      </c>
      <c r="AK29" s="838"/>
      <c r="AL29" s="902">
        <v>8.5</v>
      </c>
      <c r="AM29" s="838"/>
      <c r="AN29" s="898">
        <v>8.727272727272727</v>
      </c>
      <c r="AO29" s="838"/>
      <c r="AP29" s="904">
        <v>8.0</v>
      </c>
      <c r="AQ29" s="838"/>
      <c r="AR29" s="904">
        <v>8.0</v>
      </c>
      <c r="AS29" s="838"/>
      <c r="AT29" s="904">
        <v>8.0</v>
      </c>
      <c r="AU29" s="893"/>
      <c r="AV29" s="893"/>
    </row>
    <row r="30" ht="45.0" customHeight="1">
      <c r="A30" s="920" t="s">
        <v>60</v>
      </c>
      <c r="B30" s="921" t="s">
        <v>242</v>
      </c>
      <c r="C30" s="901">
        <f>AVERAGE(D30:D33)</f>
        <v>8.327922078</v>
      </c>
      <c r="D30" s="904">
        <v>7.809523809523809</v>
      </c>
      <c r="E30" s="901">
        <f>AVERAGE(F30:F33)</f>
        <v>8.156926407</v>
      </c>
      <c r="F30" s="904">
        <v>7.523809523809524</v>
      </c>
      <c r="G30" s="901">
        <f>AVERAGE(H30:H33)</f>
        <v>8.291666667</v>
      </c>
      <c r="H30" s="902">
        <v>8.083333333333334</v>
      </c>
      <c r="I30" s="905">
        <f>AVERAGE(J30:J33)</f>
        <v>7.5</v>
      </c>
      <c r="J30" s="900">
        <v>7.2</v>
      </c>
      <c r="K30" s="899">
        <f>AVERAGE(L30:L33)</f>
        <v>7.607142857</v>
      </c>
      <c r="L30" s="900">
        <v>7.285714285714286</v>
      </c>
      <c r="M30" s="899">
        <f>AVERAGE(N30:N33)</f>
        <v>7.571428571</v>
      </c>
      <c r="N30" s="900">
        <v>7.142857142857143</v>
      </c>
      <c r="O30" s="899">
        <f>AVERAGE(P30:P33)</f>
        <v>7.821428571</v>
      </c>
      <c r="P30" s="904">
        <v>7.714285714285714</v>
      </c>
      <c r="Q30" s="901">
        <f>AVERAGE(R30:R33)</f>
        <v>8.458333333</v>
      </c>
      <c r="R30" s="898">
        <v>8.75</v>
      </c>
      <c r="S30" s="899">
        <f>AVERAGE(T30:T33)</f>
        <v>7.742857143</v>
      </c>
      <c r="T30" s="904">
        <v>7.8</v>
      </c>
      <c r="U30" s="906">
        <f>AVERAGE(V30:V33)</f>
        <v>6.75</v>
      </c>
      <c r="V30" s="907">
        <v>6.416666666666667</v>
      </c>
      <c r="W30" s="901">
        <f>AVERAGE(X30:X33)</f>
        <v>8.211538462</v>
      </c>
      <c r="X30" s="904">
        <v>7.615384615384615</v>
      </c>
      <c r="Y30" s="901">
        <f>AVERAGE(Z30:Z33)</f>
        <v>8.082720588</v>
      </c>
      <c r="Z30" s="904">
        <v>7.882352941176471</v>
      </c>
      <c r="AA30" s="905">
        <f>AVERAGE(AB30:AB33)</f>
        <v>7.173076923</v>
      </c>
      <c r="AB30" s="903">
        <v>6.769230769230769</v>
      </c>
      <c r="AC30" s="901">
        <f>AVERAGE(AD30:AD33)</f>
        <v>8.438095238</v>
      </c>
      <c r="AD30" s="898">
        <v>8.733333333333333</v>
      </c>
      <c r="AE30" s="905">
        <f>AVERAGE(AF30:AF33)</f>
        <v>7.395833333</v>
      </c>
      <c r="AF30" s="900">
        <v>7.083333333333333</v>
      </c>
      <c r="AG30" s="901">
        <f>AVERAGE(AH30:AH33)</f>
        <v>8.116666667</v>
      </c>
      <c r="AH30" s="904">
        <v>7.533333333333333</v>
      </c>
      <c r="AI30" s="905">
        <f>AVERAGE(AJ30:AJ33)</f>
        <v>7.461538462</v>
      </c>
      <c r="AJ30" s="903">
        <v>6.846153846153846</v>
      </c>
      <c r="AK30" s="897">
        <f>AVERAGE(AL30:AL33)</f>
        <v>8.708333333</v>
      </c>
      <c r="AL30" s="902">
        <v>8.5</v>
      </c>
      <c r="AM30" s="901">
        <f>AVERAGE(AN30:AN33)</f>
        <v>8.045454545</v>
      </c>
      <c r="AN30" s="900">
        <v>7.363636363636363</v>
      </c>
      <c r="AO30" s="905">
        <f>AVERAGE(AP30:AP33)</f>
        <v>7.25</v>
      </c>
      <c r="AP30" s="903">
        <v>7.0</v>
      </c>
      <c r="AQ30" s="905">
        <f>AVERAGE(AR30:AR33)</f>
        <v>7.107142857</v>
      </c>
      <c r="AR30" s="903">
        <v>6.571428571428571</v>
      </c>
      <c r="AS30" s="906">
        <f>AVERAGE(AT30:AT33)</f>
        <v>6.892857143</v>
      </c>
      <c r="AT30" s="907">
        <v>6.285714285714286</v>
      </c>
      <c r="AU30" s="893"/>
      <c r="AV30" s="893"/>
    </row>
    <row r="31" ht="45.0" customHeight="1">
      <c r="B31" s="922" t="s">
        <v>243</v>
      </c>
      <c r="C31" s="829"/>
      <c r="D31" s="902">
        <v>8.454545454545455</v>
      </c>
      <c r="E31" s="829"/>
      <c r="F31" s="902">
        <v>8.363636363636363</v>
      </c>
      <c r="G31" s="829"/>
      <c r="H31" s="902">
        <v>8.416666666666666</v>
      </c>
      <c r="I31" s="829"/>
      <c r="J31" s="900">
        <v>7.5</v>
      </c>
      <c r="K31" s="829"/>
      <c r="L31" s="900">
        <v>7.428571428571429</v>
      </c>
      <c r="M31" s="829"/>
      <c r="N31" s="900">
        <v>7.428571428571429</v>
      </c>
      <c r="O31" s="829"/>
      <c r="P31" s="904">
        <v>7.714285714285714</v>
      </c>
      <c r="Q31" s="829"/>
      <c r="R31" s="898">
        <v>8.583333333333334</v>
      </c>
      <c r="S31" s="829"/>
      <c r="T31" s="904">
        <v>7.6</v>
      </c>
      <c r="U31" s="829"/>
      <c r="V31" s="903">
        <v>6.833333333333333</v>
      </c>
      <c r="W31" s="829"/>
      <c r="X31" s="902">
        <v>8.384615384615385</v>
      </c>
      <c r="Y31" s="829"/>
      <c r="Z31" s="904">
        <v>7.823529411764706</v>
      </c>
      <c r="AA31" s="829"/>
      <c r="AB31" s="900">
        <v>7.076923076923077</v>
      </c>
      <c r="AC31" s="829"/>
      <c r="AD31" s="898">
        <v>8.733333333333333</v>
      </c>
      <c r="AE31" s="829"/>
      <c r="AF31" s="900">
        <v>7.25</v>
      </c>
      <c r="AG31" s="829"/>
      <c r="AH31" s="898">
        <v>8.6</v>
      </c>
      <c r="AI31" s="829"/>
      <c r="AJ31" s="904">
        <v>7.538461538461538</v>
      </c>
      <c r="AK31" s="829"/>
      <c r="AL31" s="898">
        <v>8.916666666666666</v>
      </c>
      <c r="AM31" s="829"/>
      <c r="AN31" s="898">
        <v>8.545454545454545</v>
      </c>
      <c r="AO31" s="829"/>
      <c r="AP31" s="903">
        <v>7.0</v>
      </c>
      <c r="AQ31" s="829"/>
      <c r="AR31" s="900">
        <v>7.142857142857143</v>
      </c>
      <c r="AS31" s="829"/>
      <c r="AT31" s="903">
        <v>6.857142857142857</v>
      </c>
      <c r="AU31" s="893"/>
      <c r="AV31" s="893"/>
    </row>
    <row r="32">
      <c r="B32" s="923" t="s">
        <v>216</v>
      </c>
      <c r="C32" s="829"/>
      <c r="D32" s="902">
        <v>8.047619047619047</v>
      </c>
      <c r="E32" s="829"/>
      <c r="F32" s="902">
        <v>8.285714285714286</v>
      </c>
      <c r="G32" s="829"/>
      <c r="H32" s="902">
        <v>8.25</v>
      </c>
      <c r="I32" s="829"/>
      <c r="J32" s="904">
        <v>8.0</v>
      </c>
      <c r="K32" s="829"/>
      <c r="L32" s="904">
        <v>7.571428571428571</v>
      </c>
      <c r="M32" s="829"/>
      <c r="N32" s="902">
        <v>8.428571428571429</v>
      </c>
      <c r="O32" s="829"/>
      <c r="P32" s="902">
        <v>8.142857142857142</v>
      </c>
      <c r="Q32" s="829"/>
      <c r="R32" s="902">
        <v>8.416666666666666</v>
      </c>
      <c r="S32" s="829"/>
      <c r="T32" s="904">
        <v>7.857142857142857</v>
      </c>
      <c r="U32" s="829"/>
      <c r="V32" s="900">
        <v>7.5</v>
      </c>
      <c r="W32" s="829"/>
      <c r="X32" s="902">
        <v>8.384615384615385</v>
      </c>
      <c r="Y32" s="829"/>
      <c r="Z32" s="898">
        <v>8.625</v>
      </c>
      <c r="AA32" s="829"/>
      <c r="AB32" s="904">
        <v>7.923076923076923</v>
      </c>
      <c r="AC32" s="829"/>
      <c r="AD32" s="902">
        <v>8.357142857142858</v>
      </c>
      <c r="AE32" s="829"/>
      <c r="AF32" s="902">
        <v>8.083333333333334</v>
      </c>
      <c r="AG32" s="829"/>
      <c r="AH32" s="902">
        <v>7.933333333333334</v>
      </c>
      <c r="AI32" s="829"/>
      <c r="AJ32" s="902">
        <v>8.153846153846153</v>
      </c>
      <c r="AK32" s="829"/>
      <c r="AL32" s="898">
        <v>8.666666666666666</v>
      </c>
      <c r="AM32" s="829"/>
      <c r="AN32" s="902">
        <v>8.363636363636363</v>
      </c>
      <c r="AO32" s="829"/>
      <c r="AP32" s="902">
        <v>8.428571428571429</v>
      </c>
      <c r="AQ32" s="829"/>
      <c r="AR32" s="904">
        <v>7.857142857142857</v>
      </c>
      <c r="AS32" s="829"/>
      <c r="AT32" s="904">
        <v>8.0</v>
      </c>
      <c r="AU32" s="893"/>
      <c r="AV32" s="893"/>
    </row>
    <row r="33">
      <c r="B33" s="923" t="s">
        <v>244</v>
      </c>
      <c r="C33" s="838"/>
      <c r="D33" s="898">
        <v>9.0</v>
      </c>
      <c r="E33" s="924"/>
      <c r="F33" s="902">
        <v>8.454545454545455</v>
      </c>
      <c r="G33" s="924"/>
      <c r="H33" s="902">
        <v>8.416666666666666</v>
      </c>
      <c r="I33" s="924"/>
      <c r="J33" s="900">
        <v>7.3</v>
      </c>
      <c r="K33" s="924"/>
      <c r="L33" s="902">
        <v>8.142857142857142</v>
      </c>
      <c r="M33" s="924"/>
      <c r="N33" s="900">
        <v>7.285714285714286</v>
      </c>
      <c r="O33" s="924"/>
      <c r="P33" s="904">
        <v>7.714285714285714</v>
      </c>
      <c r="Q33" s="924"/>
      <c r="R33" s="902">
        <v>8.083333333333334</v>
      </c>
      <c r="S33" s="924"/>
      <c r="T33" s="904">
        <v>7.714285714285714</v>
      </c>
      <c r="U33" s="924"/>
      <c r="V33" s="907">
        <v>6.25</v>
      </c>
      <c r="W33" s="924"/>
      <c r="X33" s="902">
        <v>8.461538461538462</v>
      </c>
      <c r="Y33" s="924"/>
      <c r="Z33" s="904">
        <v>8.0</v>
      </c>
      <c r="AA33" s="924"/>
      <c r="AB33" s="903">
        <v>6.923076923076923</v>
      </c>
      <c r="AC33" s="924"/>
      <c r="AD33" s="904">
        <v>7.928571428571429</v>
      </c>
      <c r="AE33" s="924"/>
      <c r="AF33" s="900">
        <v>7.166666666666667</v>
      </c>
      <c r="AG33" s="924"/>
      <c r="AH33" s="902">
        <v>8.4</v>
      </c>
      <c r="AI33" s="924"/>
      <c r="AJ33" s="900">
        <v>7.3076923076923075</v>
      </c>
      <c r="AK33" s="924"/>
      <c r="AL33" s="898">
        <v>8.75</v>
      </c>
      <c r="AM33" s="924"/>
      <c r="AN33" s="904">
        <v>7.909090909090909</v>
      </c>
      <c r="AO33" s="924"/>
      <c r="AP33" s="903">
        <v>6.571428571428571</v>
      </c>
      <c r="AQ33" s="924"/>
      <c r="AR33" s="903">
        <v>6.857142857142857</v>
      </c>
      <c r="AS33" s="924"/>
      <c r="AT33" s="907">
        <v>6.428571428571429</v>
      </c>
      <c r="AU33" s="893"/>
      <c r="AV33" s="893"/>
    </row>
    <row r="34">
      <c r="A34" s="890"/>
      <c r="B34" s="890"/>
      <c r="C34" s="925" t="s">
        <v>188</v>
      </c>
      <c r="D34" s="926">
        <f>AVERAGE(D2:D30)</f>
        <v>8.423694789</v>
      </c>
      <c r="E34" s="927" t="s">
        <v>188</v>
      </c>
      <c r="F34" s="926">
        <f>AVERAGE(F3:F31)</f>
        <v>8.170473205</v>
      </c>
      <c r="G34" s="927" t="s">
        <v>188</v>
      </c>
      <c r="H34" s="928">
        <f>AVERAGE(H3:H31)</f>
        <v>8.248171369</v>
      </c>
      <c r="I34" s="927" t="s">
        <v>188</v>
      </c>
      <c r="J34" s="929">
        <f>AVERAGE(J3:J31)</f>
        <v>7.865517241</v>
      </c>
      <c r="K34" s="927" t="s">
        <v>188</v>
      </c>
      <c r="L34" s="926">
        <f>AVERAGE(L3:L31)</f>
        <v>8.0591133</v>
      </c>
      <c r="M34" s="927" t="s">
        <v>188</v>
      </c>
      <c r="N34" s="929">
        <f>AVERAGE(N3:N31)</f>
        <v>7.645320197</v>
      </c>
      <c r="O34" s="927" t="s">
        <v>188</v>
      </c>
      <c r="P34" s="929">
        <f>AVERAGE(P3:P31)</f>
        <v>7.812807882</v>
      </c>
      <c r="Q34" s="927" t="s">
        <v>188</v>
      </c>
      <c r="R34" s="926">
        <f>AVERAGE(R3:R31)</f>
        <v>8.229885057</v>
      </c>
      <c r="S34" s="927" t="s">
        <v>188</v>
      </c>
      <c r="T34" s="930">
        <f>AVERAGE(T3:T31)</f>
        <v>7.895566502</v>
      </c>
      <c r="U34" s="927" t="s">
        <v>188</v>
      </c>
      <c r="V34" s="931">
        <f>AVERAGE(V3:V31)</f>
        <v>7.048850575</v>
      </c>
      <c r="W34" s="927" t="s">
        <v>188</v>
      </c>
      <c r="X34" s="926">
        <f>AVERAGE(X3:X31)</f>
        <v>8.331564987</v>
      </c>
      <c r="Y34" s="927" t="s">
        <v>188</v>
      </c>
      <c r="Z34" s="928">
        <f>AVERAGE(Z3:Z31)</f>
        <v>8.283595335</v>
      </c>
      <c r="AA34" s="927" t="s">
        <v>188</v>
      </c>
      <c r="AB34" s="931">
        <f>AVERAGE(AB3:AB31)</f>
        <v>7.389920424</v>
      </c>
      <c r="AC34" s="927" t="s">
        <v>188</v>
      </c>
      <c r="AD34" s="926">
        <f>AVERAGE(AD3:AD31)</f>
        <v>8.385385878</v>
      </c>
      <c r="AE34" s="927" t="s">
        <v>188</v>
      </c>
      <c r="AF34" s="929">
        <f>AVERAGE(AF3:AF31)</f>
        <v>7.629310345</v>
      </c>
      <c r="AG34" s="927" t="s">
        <v>188</v>
      </c>
      <c r="AH34" s="929">
        <f>AVERAGE(AH3:AH31)</f>
        <v>8.205254516</v>
      </c>
      <c r="AI34" s="927" t="s">
        <v>188</v>
      </c>
      <c r="AJ34" s="931">
        <f>AVERAGE(AJ3:AJ31)</f>
        <v>7.541114058</v>
      </c>
      <c r="AK34" s="927" t="s">
        <v>188</v>
      </c>
      <c r="AL34" s="928">
        <f>AVERAGE(AL3:AL31)</f>
        <v>8.721264368</v>
      </c>
      <c r="AM34" s="927" t="s">
        <v>188</v>
      </c>
      <c r="AN34" s="928">
        <f>AVERAGE(AN3:AN31)</f>
        <v>8.131974922</v>
      </c>
      <c r="AO34" s="927" t="s">
        <v>188</v>
      </c>
      <c r="AP34" s="931">
        <f>AVERAGE(AP3:AP31)</f>
        <v>7.21182266</v>
      </c>
      <c r="AQ34" s="927" t="s">
        <v>188</v>
      </c>
      <c r="AR34" s="929">
        <f>AVERAGE(AR3:AR31)</f>
        <v>7.536945813</v>
      </c>
      <c r="AS34" s="927" t="s">
        <v>188</v>
      </c>
      <c r="AT34" s="931">
        <f>AVERAGE(AT3:AT31)</f>
        <v>7.004926108</v>
      </c>
      <c r="AU34" s="893"/>
      <c r="AV34" s="893"/>
    </row>
    <row r="35">
      <c r="A35" s="890"/>
      <c r="B35" s="890"/>
      <c r="C35" s="932"/>
      <c r="D35" s="933"/>
      <c r="E35" s="932"/>
      <c r="F35" s="933"/>
      <c r="G35" s="932"/>
      <c r="H35" s="932"/>
      <c r="I35" s="932"/>
      <c r="J35" s="933"/>
      <c r="K35" s="932"/>
      <c r="L35" s="933"/>
      <c r="M35" s="932"/>
      <c r="N35" s="933"/>
      <c r="O35" s="932"/>
      <c r="P35" s="933"/>
      <c r="Q35" s="932"/>
      <c r="R35" s="933"/>
      <c r="S35" s="932"/>
      <c r="T35" s="932"/>
      <c r="U35" s="932"/>
      <c r="V35" s="933"/>
      <c r="W35" s="932"/>
      <c r="X35" s="933"/>
      <c r="Y35" s="932"/>
      <c r="Z35" s="932"/>
      <c r="AA35" s="69"/>
      <c r="AB35" s="849"/>
      <c r="AC35" s="932"/>
      <c r="AD35" s="933"/>
      <c r="AE35" s="932"/>
      <c r="AF35" s="933"/>
      <c r="AG35" s="932"/>
      <c r="AH35" s="933"/>
      <c r="AI35" s="932"/>
      <c r="AJ35" s="933"/>
      <c r="AK35" s="932"/>
      <c r="AL35" s="932"/>
      <c r="AM35" s="932"/>
      <c r="AN35" s="932"/>
      <c r="AO35" s="932"/>
      <c r="AP35" s="933"/>
      <c r="AQ35" s="932"/>
      <c r="AR35" s="933"/>
      <c r="AS35" s="932"/>
      <c r="AT35" s="933"/>
      <c r="AU35" s="893"/>
      <c r="AV35" s="893"/>
    </row>
    <row r="36" ht="130.5" customHeight="1">
      <c r="A36" s="890"/>
      <c r="B36" s="890"/>
      <c r="C36" s="934"/>
      <c r="D36" s="934"/>
      <c r="E36" s="934"/>
      <c r="F36" s="934"/>
      <c r="G36" s="935"/>
      <c r="H36" s="935"/>
      <c r="I36" s="935"/>
      <c r="J36" s="935"/>
      <c r="K36" s="935"/>
      <c r="L36" s="935"/>
      <c r="M36" s="935"/>
      <c r="N36" s="935"/>
      <c r="O36" s="935"/>
      <c r="P36" s="935"/>
      <c r="Q36" s="934"/>
      <c r="R36" s="934"/>
      <c r="S36" s="934"/>
      <c r="T36" s="934"/>
      <c r="U36" s="934"/>
      <c r="V36" s="934"/>
      <c r="W36" s="934"/>
      <c r="X36" s="934"/>
      <c r="Y36" s="934"/>
      <c r="Z36" s="934"/>
      <c r="AA36" s="934"/>
      <c r="AB36" s="934"/>
      <c r="AC36" s="935"/>
      <c r="AD36" s="935"/>
      <c r="AE36" s="935"/>
      <c r="AF36" s="935"/>
      <c r="AG36" s="935"/>
      <c r="AH36" s="935"/>
      <c r="AI36" s="934"/>
      <c r="AJ36" s="934"/>
      <c r="AK36" s="935"/>
      <c r="AL36" s="935"/>
      <c r="AM36" s="935"/>
      <c r="AN36" s="935"/>
      <c r="AO36" s="935"/>
      <c r="AP36" s="935"/>
      <c r="AQ36" s="935"/>
      <c r="AR36" s="935"/>
      <c r="AS36" s="935"/>
      <c r="AT36" s="935"/>
      <c r="AU36" s="893"/>
      <c r="AV36" s="893"/>
    </row>
    <row r="37">
      <c r="A37" s="890"/>
      <c r="B37" s="936" t="s">
        <v>70</v>
      </c>
      <c r="C37" s="937" t="s">
        <v>405</v>
      </c>
      <c r="D37" s="311"/>
      <c r="E37" s="937" t="s">
        <v>406</v>
      </c>
      <c r="F37" s="311"/>
      <c r="G37" s="937" t="s">
        <v>407</v>
      </c>
      <c r="H37" s="311"/>
      <c r="I37" s="937" t="s">
        <v>408</v>
      </c>
      <c r="J37" s="311"/>
      <c r="K37" s="937" t="s">
        <v>409</v>
      </c>
      <c r="L37" s="311"/>
      <c r="M37" s="937" t="s">
        <v>410</v>
      </c>
      <c r="N37" s="311"/>
      <c r="O37" s="937" t="s">
        <v>411</v>
      </c>
      <c r="P37" s="311"/>
      <c r="Q37" s="937" t="s">
        <v>412</v>
      </c>
      <c r="R37" s="311"/>
      <c r="S37" s="937" t="s">
        <v>413</v>
      </c>
      <c r="T37" s="311"/>
      <c r="U37" s="937" t="s">
        <v>414</v>
      </c>
      <c r="V37" s="311"/>
      <c r="W37" s="937" t="s">
        <v>415</v>
      </c>
      <c r="X37" s="311"/>
      <c r="Y37" s="937" t="s">
        <v>416</v>
      </c>
      <c r="Z37" s="311"/>
      <c r="AA37" s="937" t="s">
        <v>417</v>
      </c>
      <c r="AB37" s="311"/>
      <c r="AC37" s="937" t="s">
        <v>418</v>
      </c>
      <c r="AD37" s="311"/>
      <c r="AE37" s="937" t="s">
        <v>419</v>
      </c>
      <c r="AF37" s="311"/>
      <c r="AG37" s="937" t="s">
        <v>420</v>
      </c>
      <c r="AH37" s="311"/>
      <c r="AI37" s="937" t="s">
        <v>421</v>
      </c>
      <c r="AJ37" s="311"/>
      <c r="AK37" s="937" t="s">
        <v>422</v>
      </c>
      <c r="AL37" s="311"/>
      <c r="AM37" s="937" t="s">
        <v>423</v>
      </c>
      <c r="AN37" s="311"/>
      <c r="AO37" s="937" t="s">
        <v>424</v>
      </c>
      <c r="AP37" s="311"/>
      <c r="AQ37" s="937" t="s">
        <v>425</v>
      </c>
      <c r="AR37" s="311"/>
      <c r="AS37" s="937" t="s">
        <v>426</v>
      </c>
      <c r="AT37" s="311"/>
      <c r="AU37" s="893"/>
      <c r="AV37" s="893"/>
    </row>
    <row r="38">
      <c r="A38" s="890"/>
      <c r="B38" s="938" t="s">
        <v>73</v>
      </c>
      <c r="C38" s="937" t="s">
        <v>427</v>
      </c>
      <c r="D38" s="311"/>
      <c r="E38" s="937" t="s">
        <v>428</v>
      </c>
      <c r="F38" s="311"/>
      <c r="G38" s="937" t="s">
        <v>429</v>
      </c>
      <c r="H38" s="311"/>
      <c r="I38" s="937" t="s">
        <v>430</v>
      </c>
      <c r="J38" s="311"/>
      <c r="K38" s="937" t="s">
        <v>431</v>
      </c>
      <c r="L38" s="311"/>
      <c r="M38" s="937" t="s">
        <v>432</v>
      </c>
      <c r="N38" s="311"/>
      <c r="O38" s="937" t="s">
        <v>433</v>
      </c>
      <c r="P38" s="311"/>
      <c r="Q38" s="937" t="s">
        <v>434</v>
      </c>
      <c r="R38" s="311"/>
      <c r="S38" s="937" t="s">
        <v>435</v>
      </c>
      <c r="T38" s="311"/>
      <c r="U38" s="937" t="s">
        <v>436</v>
      </c>
      <c r="V38" s="311"/>
      <c r="W38" s="937" t="s">
        <v>437</v>
      </c>
      <c r="X38" s="311"/>
      <c r="Y38" s="937" t="s">
        <v>438</v>
      </c>
      <c r="Z38" s="311"/>
      <c r="AA38" s="937" t="s">
        <v>439</v>
      </c>
      <c r="AB38" s="311"/>
      <c r="AC38" s="937" t="s">
        <v>440</v>
      </c>
      <c r="AD38" s="311"/>
      <c r="AE38" s="937" t="s">
        <v>441</v>
      </c>
      <c r="AF38" s="311"/>
      <c r="AG38" s="937" t="s">
        <v>442</v>
      </c>
      <c r="AH38" s="311"/>
      <c r="AI38" s="937" t="s">
        <v>443</v>
      </c>
      <c r="AJ38" s="311"/>
      <c r="AK38" s="937" t="s">
        <v>444</v>
      </c>
      <c r="AL38" s="311"/>
      <c r="AM38" s="937" t="s">
        <v>445</v>
      </c>
      <c r="AN38" s="311"/>
      <c r="AO38" s="937" t="s">
        <v>446</v>
      </c>
      <c r="AP38" s="311"/>
      <c r="AQ38" s="937" t="s">
        <v>447</v>
      </c>
      <c r="AR38" s="311"/>
      <c r="AS38" s="937" t="s">
        <v>448</v>
      </c>
      <c r="AT38" s="311"/>
      <c r="AU38" s="893"/>
      <c r="AV38" s="893"/>
    </row>
    <row r="39">
      <c r="A39" s="890"/>
      <c r="B39" s="890"/>
      <c r="C39" s="890"/>
      <c r="D39" s="890"/>
      <c r="E39" s="890"/>
      <c r="F39" s="890"/>
      <c r="G39" s="890"/>
      <c r="H39" s="890"/>
      <c r="I39" s="890"/>
      <c r="J39" s="890"/>
      <c r="K39" s="890"/>
      <c r="L39" s="890"/>
      <c r="M39" s="890"/>
      <c r="N39" s="890"/>
      <c r="O39" s="890"/>
      <c r="P39" s="890"/>
      <c r="Q39" s="890"/>
      <c r="R39" s="890"/>
      <c r="S39" s="890"/>
      <c r="T39" s="890"/>
      <c r="U39" s="890"/>
      <c r="V39" s="890"/>
      <c r="W39" s="890"/>
      <c r="X39" s="890"/>
      <c r="Y39" s="890"/>
      <c r="Z39" s="890"/>
      <c r="AA39" s="890"/>
      <c r="AB39" s="890"/>
      <c r="AC39" s="890"/>
      <c r="AD39" s="890"/>
      <c r="AE39" s="890"/>
      <c r="AF39" s="890"/>
      <c r="AG39" s="890"/>
      <c r="AH39" s="890"/>
      <c r="AI39" s="890"/>
      <c r="AJ39" s="890"/>
      <c r="AK39" s="890"/>
      <c r="AL39" s="890"/>
      <c r="AM39" s="890"/>
      <c r="AN39" s="890"/>
      <c r="AO39" s="890"/>
      <c r="AP39" s="890"/>
      <c r="AQ39" s="890"/>
      <c r="AR39" s="890"/>
      <c r="AS39" s="890"/>
      <c r="AT39" s="890"/>
      <c r="AU39" s="893"/>
      <c r="AV39" s="893"/>
    </row>
    <row r="40">
      <c r="A40" s="890"/>
      <c r="B40" s="890"/>
      <c r="C40" s="890"/>
      <c r="D40" s="890"/>
      <c r="E40" s="890"/>
      <c r="F40" s="890"/>
      <c r="G40" s="890"/>
      <c r="H40" s="890"/>
      <c r="I40" s="890"/>
      <c r="J40" s="890"/>
      <c r="K40" s="890"/>
      <c r="L40" s="890"/>
      <c r="M40" s="890"/>
      <c r="N40" s="890"/>
      <c r="O40" s="890"/>
      <c r="P40" s="890"/>
      <c r="Q40" s="890"/>
      <c r="R40" s="890"/>
      <c r="S40" s="890"/>
      <c r="T40" s="890"/>
      <c r="U40" s="890"/>
      <c r="V40" s="890"/>
      <c r="W40" s="890"/>
      <c r="X40" s="890"/>
      <c r="Y40" s="890"/>
      <c r="Z40" s="890"/>
      <c r="AA40" s="890"/>
      <c r="AB40" s="890"/>
      <c r="AC40" s="890"/>
      <c r="AD40" s="890"/>
      <c r="AE40" s="890"/>
      <c r="AF40" s="890"/>
      <c r="AG40" s="890"/>
      <c r="AH40" s="890"/>
      <c r="AI40" s="890"/>
      <c r="AJ40" s="890"/>
      <c r="AK40" s="890"/>
      <c r="AL40" s="890"/>
      <c r="AM40" s="890"/>
      <c r="AN40" s="890"/>
      <c r="AO40" s="890"/>
      <c r="AP40" s="890"/>
      <c r="AQ40" s="890"/>
      <c r="AR40" s="890"/>
      <c r="AS40" s="890"/>
      <c r="AT40" s="890"/>
      <c r="AU40" s="893"/>
      <c r="AV40" s="893"/>
    </row>
  </sheetData>
  <mergeCells count="248">
    <mergeCell ref="U3:U6"/>
    <mergeCell ref="U7:U14"/>
    <mergeCell ref="Y3:Y6"/>
    <mergeCell ref="Y7:Y14"/>
    <mergeCell ref="O3:O6"/>
    <mergeCell ref="S3:S6"/>
    <mergeCell ref="W3:W6"/>
    <mergeCell ref="AA3:AA6"/>
    <mergeCell ref="O7:O14"/>
    <mergeCell ref="S7:S14"/>
    <mergeCell ref="W7:W14"/>
    <mergeCell ref="AA7:AA14"/>
    <mergeCell ref="AI3:AI6"/>
    <mergeCell ref="AI7:AI14"/>
    <mergeCell ref="AM3:AM6"/>
    <mergeCell ref="AM7:AM14"/>
    <mergeCell ref="AC3:AC6"/>
    <mergeCell ref="AG3:AG6"/>
    <mergeCell ref="AK3:AK6"/>
    <mergeCell ref="AO3:AO6"/>
    <mergeCell ref="AC7:AC14"/>
    <mergeCell ref="AG7:AG14"/>
    <mergeCell ref="AK7:AK14"/>
    <mergeCell ref="AO7:AO14"/>
    <mergeCell ref="AE1:AF1"/>
    <mergeCell ref="AG1:AH1"/>
    <mergeCell ref="AI1:AJ1"/>
    <mergeCell ref="AK1:AL1"/>
    <mergeCell ref="AM1:AN1"/>
    <mergeCell ref="AO1:AP1"/>
    <mergeCell ref="AQ1:AR1"/>
    <mergeCell ref="AS1:AT1"/>
    <mergeCell ref="Q1:R1"/>
    <mergeCell ref="S1:T1"/>
    <mergeCell ref="U1:V1"/>
    <mergeCell ref="W1:X1"/>
    <mergeCell ref="Y1:Z1"/>
    <mergeCell ref="AA1:AB1"/>
    <mergeCell ref="AC1:AD1"/>
    <mergeCell ref="C1:D1"/>
    <mergeCell ref="E1:F1"/>
    <mergeCell ref="G1:H1"/>
    <mergeCell ref="I1:J1"/>
    <mergeCell ref="K1:L1"/>
    <mergeCell ref="M1:N1"/>
    <mergeCell ref="O1:P1"/>
    <mergeCell ref="AQ3:AQ6"/>
    <mergeCell ref="AS3:AS6"/>
    <mergeCell ref="AQ7:AQ14"/>
    <mergeCell ref="AS7:AS14"/>
    <mergeCell ref="C3:C6"/>
    <mergeCell ref="C7:C14"/>
    <mergeCell ref="Q3:Q6"/>
    <mergeCell ref="Q7:Q14"/>
    <mergeCell ref="AE3:AE6"/>
    <mergeCell ref="AE7:AE14"/>
    <mergeCell ref="U15:U20"/>
    <mergeCell ref="W15:W20"/>
    <mergeCell ref="Y15:Y20"/>
    <mergeCell ref="AA15:AA20"/>
    <mergeCell ref="AC15:AC20"/>
    <mergeCell ref="AE15:AE20"/>
    <mergeCell ref="AG15:AG20"/>
    <mergeCell ref="Q15:Q20"/>
    <mergeCell ref="Q21:Q24"/>
    <mergeCell ref="U21:U24"/>
    <mergeCell ref="W21:W24"/>
    <mergeCell ref="Y21:Y24"/>
    <mergeCell ref="AA21:AA24"/>
    <mergeCell ref="AC21:AC24"/>
    <mergeCell ref="K3:K6"/>
    <mergeCell ref="K7:K14"/>
    <mergeCell ref="K15:K20"/>
    <mergeCell ref="O15:O20"/>
    <mergeCell ref="S15:S20"/>
    <mergeCell ref="K21:K24"/>
    <mergeCell ref="O21:O24"/>
    <mergeCell ref="S21:S24"/>
    <mergeCell ref="M15:M20"/>
    <mergeCell ref="M21:M24"/>
    <mergeCell ref="K25:K29"/>
    <mergeCell ref="M25:M29"/>
    <mergeCell ref="O25:O29"/>
    <mergeCell ref="Q25:Q29"/>
    <mergeCell ref="S25:S29"/>
    <mergeCell ref="A7:A14"/>
    <mergeCell ref="A15:A20"/>
    <mergeCell ref="C15:C20"/>
    <mergeCell ref="E15:E20"/>
    <mergeCell ref="A21:A24"/>
    <mergeCell ref="E21:E24"/>
    <mergeCell ref="E25:E29"/>
    <mergeCell ref="C21:C24"/>
    <mergeCell ref="C25:C29"/>
    <mergeCell ref="C34:C35"/>
    <mergeCell ref="D34:D35"/>
    <mergeCell ref="E34:E35"/>
    <mergeCell ref="F34:F35"/>
    <mergeCell ref="G34:G35"/>
    <mergeCell ref="H34:H35"/>
    <mergeCell ref="I34:I35"/>
    <mergeCell ref="J34:J35"/>
    <mergeCell ref="K34:K35"/>
    <mergeCell ref="L34:L35"/>
    <mergeCell ref="M34:M35"/>
    <mergeCell ref="N34:N35"/>
    <mergeCell ref="O34:O35"/>
    <mergeCell ref="P34:P35"/>
    <mergeCell ref="Q34:Q35"/>
    <mergeCell ref="R34:R35"/>
    <mergeCell ref="S34:S35"/>
    <mergeCell ref="T34:T35"/>
    <mergeCell ref="U34:U35"/>
    <mergeCell ref="V34:V35"/>
    <mergeCell ref="W34:W35"/>
    <mergeCell ref="X34:X35"/>
    <mergeCell ref="Y34:Y35"/>
    <mergeCell ref="Z34:Z35"/>
    <mergeCell ref="AA34:AA35"/>
    <mergeCell ref="AB34:AB35"/>
    <mergeCell ref="AC34:AC35"/>
    <mergeCell ref="AD34:AD35"/>
    <mergeCell ref="AE34:AE35"/>
    <mergeCell ref="AF34:AF35"/>
    <mergeCell ref="AG34:AG35"/>
    <mergeCell ref="AH34:AH35"/>
    <mergeCell ref="AI34:AI35"/>
    <mergeCell ref="AQ34:AQ35"/>
    <mergeCell ref="AR34:AR35"/>
    <mergeCell ref="AS34:AS35"/>
    <mergeCell ref="AT34:AT35"/>
    <mergeCell ref="AJ34:AJ35"/>
    <mergeCell ref="AK34:AK35"/>
    <mergeCell ref="AL34:AL35"/>
    <mergeCell ref="AM34:AM35"/>
    <mergeCell ref="AN34:AN35"/>
    <mergeCell ref="AO34:AO35"/>
    <mergeCell ref="AP34:AP35"/>
    <mergeCell ref="G25:G29"/>
    <mergeCell ref="G30:G33"/>
    <mergeCell ref="K30:K33"/>
    <mergeCell ref="M30:M33"/>
    <mergeCell ref="O30:O33"/>
    <mergeCell ref="Q30:Q33"/>
    <mergeCell ref="S30:S33"/>
    <mergeCell ref="I37:J37"/>
    <mergeCell ref="K37:L37"/>
    <mergeCell ref="M37:N37"/>
    <mergeCell ref="O37:P37"/>
    <mergeCell ref="Q37:R37"/>
    <mergeCell ref="S37:T37"/>
    <mergeCell ref="U37:V37"/>
    <mergeCell ref="AK37:AL37"/>
    <mergeCell ref="AM37:AN37"/>
    <mergeCell ref="AO37:AP37"/>
    <mergeCell ref="AQ37:AR37"/>
    <mergeCell ref="AS37:AT37"/>
    <mergeCell ref="W37:X37"/>
    <mergeCell ref="Y37:Z37"/>
    <mergeCell ref="AA37:AB37"/>
    <mergeCell ref="AC37:AD37"/>
    <mergeCell ref="AE37:AF37"/>
    <mergeCell ref="AG37:AH37"/>
    <mergeCell ref="AI37:AJ37"/>
    <mergeCell ref="A25:A29"/>
    <mergeCell ref="A30:A33"/>
    <mergeCell ref="C30:C33"/>
    <mergeCell ref="E30:E33"/>
    <mergeCell ref="C37:D37"/>
    <mergeCell ref="E37:F37"/>
    <mergeCell ref="G37:H37"/>
    <mergeCell ref="C38:D38"/>
    <mergeCell ref="E38:F38"/>
    <mergeCell ref="G38:H38"/>
    <mergeCell ref="I38:J38"/>
    <mergeCell ref="K38:L38"/>
    <mergeCell ref="M38:N38"/>
    <mergeCell ref="O38:P38"/>
    <mergeCell ref="AE38:AF38"/>
    <mergeCell ref="AG38:AH38"/>
    <mergeCell ref="AI38:AJ38"/>
    <mergeCell ref="AK38:AL38"/>
    <mergeCell ref="AM38:AN38"/>
    <mergeCell ref="AO38:AP38"/>
    <mergeCell ref="AQ38:AR38"/>
    <mergeCell ref="AS38:AT38"/>
    <mergeCell ref="Q38:R38"/>
    <mergeCell ref="S38:T38"/>
    <mergeCell ref="U38:V38"/>
    <mergeCell ref="W38:X38"/>
    <mergeCell ref="Y38:Z38"/>
    <mergeCell ref="AA38:AB38"/>
    <mergeCell ref="AC38:AD38"/>
    <mergeCell ref="A3:A6"/>
    <mergeCell ref="E3:E6"/>
    <mergeCell ref="I3:I6"/>
    <mergeCell ref="M3:M6"/>
    <mergeCell ref="E7:E14"/>
    <mergeCell ref="I7:I14"/>
    <mergeCell ref="M7:M14"/>
    <mergeCell ref="AI15:AI20"/>
    <mergeCell ref="AK15:AK20"/>
    <mergeCell ref="AM15:AM20"/>
    <mergeCell ref="AO15:AO20"/>
    <mergeCell ref="AQ15:AQ20"/>
    <mergeCell ref="AS15:AS20"/>
    <mergeCell ref="AE21:AE24"/>
    <mergeCell ref="AG21:AG24"/>
    <mergeCell ref="AI21:AI24"/>
    <mergeCell ref="AK21:AK24"/>
    <mergeCell ref="AM21:AM24"/>
    <mergeCell ref="AO21:AO24"/>
    <mergeCell ref="AQ21:AQ24"/>
    <mergeCell ref="AS21:AS24"/>
    <mergeCell ref="AI25:AI29"/>
    <mergeCell ref="AK25:AK29"/>
    <mergeCell ref="AM25:AM29"/>
    <mergeCell ref="AO25:AO29"/>
    <mergeCell ref="AQ25:AQ29"/>
    <mergeCell ref="AS25:AS29"/>
    <mergeCell ref="U25:U29"/>
    <mergeCell ref="W25:W29"/>
    <mergeCell ref="Y25:Y29"/>
    <mergeCell ref="AA25:AA29"/>
    <mergeCell ref="AC25:AC29"/>
    <mergeCell ref="AE25:AE29"/>
    <mergeCell ref="AG25:AG29"/>
    <mergeCell ref="G3:G6"/>
    <mergeCell ref="G7:G14"/>
    <mergeCell ref="G15:G20"/>
    <mergeCell ref="I15:I20"/>
    <mergeCell ref="G21:G24"/>
    <mergeCell ref="I21:I24"/>
    <mergeCell ref="I25:I29"/>
    <mergeCell ref="I30:I33"/>
    <mergeCell ref="AI30:AI33"/>
    <mergeCell ref="AK30:AK33"/>
    <mergeCell ref="AM30:AM33"/>
    <mergeCell ref="AO30:AO33"/>
    <mergeCell ref="AQ30:AQ33"/>
    <mergeCell ref="AS30:AS33"/>
    <mergeCell ref="U30:U33"/>
    <mergeCell ref="W30:W33"/>
    <mergeCell ref="Y30:Y33"/>
    <mergeCell ref="AA30:AA33"/>
    <mergeCell ref="AC30:AC33"/>
    <mergeCell ref="AE30:AE33"/>
    <mergeCell ref="AG30:AG33"/>
  </mergeCells>
  <conditionalFormatting sqref="E3:E28 F3:F32 G3:G28 H3:H31 I3:I28 J3:J31 Q3:Q28 R3:R31 AG3:AG28 AH3:AH31">
    <cfRule type="cellIs" dxfId="5" priority="1" operator="between">
      <formula>7.10001</formula>
      <formula>7.5</formula>
    </cfRule>
  </conditionalFormatting>
  <conditionalFormatting sqref="C3:C31 D3:D32 E3:E31 F3:F33 G3:AT31">
    <cfRule type="cellIs" dxfId="1" priority="2" operator="greaterThan">
      <formula>8.5</formula>
    </cfRule>
  </conditionalFormatting>
  <conditionalFormatting sqref="C3:C31 D3:D32 E3:E31 F3:F33 G3:AT31">
    <cfRule type="cellIs" dxfId="12" priority="3" operator="between">
      <formula>8.000001</formula>
      <formula>8.5</formula>
    </cfRule>
  </conditionalFormatting>
  <conditionalFormatting sqref="C3:C31 D3:D32 E3:E31 F3:F33 G3:AT31">
    <cfRule type="cellIs" dxfId="3" priority="4" operator="between">
      <formula>7.500001</formula>
      <formula>8</formula>
    </cfRule>
  </conditionalFormatting>
  <conditionalFormatting sqref="C3:C28 D3:D32 E3:E28 G3:G28 I3:I28 K3:K28 M3:M28 O3:O28 Q3:Q28 S3:S28 U3:U28 W3:W28 X3:X31 Y3:Y28 Z3:Z31 AA3:AA28 AB3:AB31 AC3:AC28 AE3:AE28 AF3:AF31 AG3:AG28 AI3:AI28 AK3:AK28 AM3:AM28 AO3:AO28 AP3:AP31 AQ3:AQ28 AR3:AR31 F32:F33">
    <cfRule type="cellIs" dxfId="4" priority="5" operator="between">
      <formula>6.50001</formula>
      <formula>7</formula>
    </cfRule>
  </conditionalFormatting>
  <conditionalFormatting sqref="C3:C31 D3:D32 E3:E31 G3:G31 I3:I31 K3:Q31 S3:AG31 AI3:AT31 F32:F33">
    <cfRule type="cellIs" dxfId="5" priority="6" operator="between">
      <formula>7.00001</formula>
      <formula>7.5</formula>
    </cfRule>
  </conditionalFormatting>
  <conditionalFormatting sqref="C3:C29 D3:D31 E3:E29 F3:F31 G3:G29 I3:I29 J3:J31 K3:K29 L3:L31 M3:M29 N3:N31 O3:O29 P3:P31 Q3:Q29 R3:R31 S3:S29 T3:T31 U3:U29 V3:V31 W3:W29 X3:X31 Y3:Y29 Z3:Z31 AA3:AA29 AB3:AD33 AE3:AE29 AF3:AF33 AG3:AG29 AH3:AH33 AI3:AI29 AJ3:AJ33 AK3:AK29 AL3:AL33 AM3:AM29 AN3:AN33 AO3:AO29 AP3:AP33 AQ3:AQ29 AR3:AR33 AS3:AS29 AT3:AT33">
    <cfRule type="cellIs" dxfId="1" priority="7" operator="greaterThan">
      <formula>8.8</formula>
    </cfRule>
  </conditionalFormatting>
  <conditionalFormatting sqref="C3:C29 D3:D31 E3:E29 F3:F31 G3:G29 I3:I29 J3:J31 K3:K29 L3:L31 M3:M29 N3:N31 O3:O29 P3:P31 Q3:Q29 R3:R31 S3:S29 T3:T31 U3:U29 V3:V31 W3:W29 X3:X31 Y3:Y29 Z3:Z31 AA3:AA29 AB3:AD33 AE3:AE29 AF3:AF33 AG3:AG29 AH3:AH33 AI3:AI29 AJ3:AJ33 AK3:AK29 AL3:AL33 AM3:AM29 AN3:AN33 AO3:AO29 AP3:AP33 AQ3:AQ29 AR3:AR33 AS3:AS29 AT3:AT33">
    <cfRule type="cellIs" dxfId="12" priority="8" operator="between">
      <formula>8.300001</formula>
      <formula>8.8</formula>
    </cfRule>
  </conditionalFormatting>
  <conditionalFormatting sqref="C3:C29 D3:D31 E3:E29 F3:F31 G3:G29 I3:I29 J3:J31 K3:K29 L3:L31 M3:M29 N3:N31 O3:O29 P3:P31 Q3:Q29 R3:R31 S3:S29 T3:T31 U3:U29 V3:V31 W3:W29 X3:X31 Y3:Y29 Z3:Z31 AA3:AA29 AB3:AD33 AE3:AE29 AF3:AF33 AG3:AG29 AH3:AH33 AI3:AI29 AJ3:AJ33 AK3:AK29 AL3:AL33 AM3:AM29 AN3:AN33 AO3:AO29 AP3:AP33 AQ3:AQ29 AR3:AR33 AS3:AS29 AT3:AT33">
    <cfRule type="cellIs" dxfId="3" priority="9" operator="between">
      <formula>7.800001</formula>
      <formula>8.3</formula>
    </cfRule>
  </conditionalFormatting>
  <conditionalFormatting sqref="C3:E31 F3:F32 G3:AA31 AB3:AT33">
    <cfRule type="cellIs" dxfId="4" priority="10" operator="between">
      <formula>6.50001</formula>
      <formula>7.1</formula>
    </cfRule>
  </conditionalFormatting>
  <conditionalFormatting sqref="C3:C29 D3:D31 E3:E29 F3:F31 G3:G29 I3:I29 J3:J31 K3:K29 L3:L31 M3:M29 N3:N31 O3:O29 P3:P31 Q3:Q29 R3:R31 S3:S29 T3:T31 U3:U29 V3:V31 W3:W29 X3:X31 Y3:Y29 Z3:Z31 AA3:AA29 AB3:AD33 AE3:AE29 AF3:AF33 AG3:AG29 AH3:AH33 AI3:AI29 AJ3:AJ33 AK3:AK29 AL3:AL33 AM3:AM29 AN3:AN33 AO3:AO29 AP3:AP33 AQ3:AQ29 AR3:AR33 AS3:AS29 AT3:AT33">
    <cfRule type="cellIs" dxfId="5" priority="11" operator="between">
      <formula>7.10001</formula>
      <formula>7.8</formula>
    </cfRule>
  </conditionalFormatting>
  <conditionalFormatting sqref="C3:C31 D3:E32 F3:F33 G3:AA32 AB3:AT33">
    <cfRule type="cellIs" dxfId="6" priority="12" operator="between">
      <formula>0</formula>
      <formula>6.5</formula>
    </cfRule>
  </conditionalFormatting>
  <conditionalFormatting sqref="C3:C29 D3:D32 E3:E29 F3:F33 G3:I29 J3:J32 K3:M29 N3:N32 O3:S29 T3:T30 U3:Y29 Z3:Z30 AA3:AB29 AC3:AC32 AD3:AD33 AE3:AE29 AF3:AF32 AG3:AG29 AH3:AH32 AI3:AO29 AP3:AP32 AQ3:AQ29 AR3:AR32 AS3:AS29 AT3:AT32 H32 L32 P32 R32 T32 V32 X32 Z32 AB32 AJ32 AL32 AN32">
    <cfRule type="cellIs" dxfId="4" priority="13" operator="between">
      <formula>6.50001</formula>
      <formula>7.2</formula>
    </cfRule>
  </conditionalFormatting>
  <conditionalFormatting sqref="C3:C29 D3:D32 E3:E29 F3:F33 G3:I29 J3:J32 K3:M29 N3:N32 O3:S29 T3:T30 U3:Y29 Z3:Z30 AA3:AB29 AC3:AC32 AD3:AD33 AE3:AE29 AF3:AF32 AG3:AG29 AH3:AH32 AI3:AO29 AP3:AP32 AQ3:AQ29 AR3:AR32 AS3:AS29 AT3:AT32 H32 L32 P32 R32 T32 V32 X32 Z32 AB32 AJ32 AL32 AN32">
    <cfRule type="cellIs" dxfId="5" priority="14" operator="between">
      <formula>7.20001</formula>
      <formula>8</formula>
    </cfRule>
  </conditionalFormatting>
  <conditionalFormatting sqref="C3:C29 D3:D32 E3:E29 F3:F33 G3:I29 J3:J32 K3:M29 N3:N32 O3:S29 T3:T30 U3:Y29 Z3:Z30 AA3:AB29 AC3:AC32 AD3:AD33 AE3:AE29 AF3:AF32 AG3:AG29 AH3:AH32 AI3:AO29 AP3:AP32 AQ3:AQ29 AR3:AR32 AS3:AS29 AT3:AT32 H32 L32 P32 R32 T32 V32 X32 Z32 AB32 AJ32 AL32 AN32">
    <cfRule type="cellIs" dxfId="3" priority="15" operator="between">
      <formula>8.0001</formula>
      <formula>8.5</formula>
    </cfRule>
  </conditionalFormatting>
  <conditionalFormatting sqref="C3:C29 D3:D32 E3:E29 F3:F33 G3:I29 J3:J32 K3:M29 N3:N32 O3:S29 T3:T30 U3:Y29 Z3:Z30 AA3:AB29 AC3:AC32 AD3:AD33 AE3:AE29 AF3:AF32 AG3:AG29 AH3:AH32 AI3:AO29 AP3:AP32 AQ3:AQ29 AR3:AR32 AS3:AS29 AT3:AT32 H32 L32 P32 R32 T32 V32 X32 Z32 AB32 AJ32 AL32 AN32">
    <cfRule type="cellIs" dxfId="12" priority="16" operator="between">
      <formula>8.50001</formula>
      <formula>9</formula>
    </cfRule>
  </conditionalFormatting>
  <conditionalFormatting sqref="C3:C29 D3:D32 E3:E29 F3:F33 G3:I29 J3:J32 K3:M29 N3:N32 O3:S29 T3:T30 U3:Y29 Z3:Z30 AA3:AB29 AC3:AC32 AD3:AD33 AE3:AE29 AF3:AF32 AG3:AG29 AH3:AH32 AI3:AO29 AP3:AP32 AQ3:AQ29 AR3:AR32 AS3:AS29 AT3:AT32 H32 L32 P32 R32 T32 V32 X32 Z32 AB32 AJ32 AL32 AN32">
    <cfRule type="cellIs" dxfId="1" priority="17" operator="greaterThan">
      <formula>9</formula>
    </cfRule>
  </conditionalFormatting>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4.43" defaultRowHeight="15.0"/>
  <cols>
    <col customWidth="1" min="2" max="2" width="55.14"/>
  </cols>
  <sheetData>
    <row r="1" ht="45.0" customHeight="1">
      <c r="A1" s="890"/>
      <c r="B1" s="890"/>
      <c r="C1" s="939" t="s">
        <v>278</v>
      </c>
      <c r="D1" s="311"/>
      <c r="E1" s="939" t="s">
        <v>333</v>
      </c>
      <c r="F1" s="311"/>
      <c r="G1" s="939" t="s">
        <v>449</v>
      </c>
      <c r="H1" s="311"/>
      <c r="I1" s="939" t="s">
        <v>450</v>
      </c>
      <c r="J1" s="311"/>
      <c r="K1" s="939" t="s">
        <v>451</v>
      </c>
      <c r="L1" s="311"/>
      <c r="M1" s="939" t="s">
        <v>452</v>
      </c>
      <c r="N1" s="311"/>
      <c r="O1" s="939" t="s">
        <v>392</v>
      </c>
      <c r="P1" s="311"/>
      <c r="Q1" s="939" t="s">
        <v>395</v>
      </c>
      <c r="R1" s="311"/>
      <c r="S1" s="939" t="s">
        <v>389</v>
      </c>
      <c r="T1" s="311"/>
      <c r="U1" s="939" t="s">
        <v>393</v>
      </c>
      <c r="V1" s="311"/>
      <c r="W1" s="939" t="s">
        <v>331</v>
      </c>
      <c r="X1" s="311"/>
      <c r="Y1" s="940" t="s">
        <v>390</v>
      </c>
      <c r="Z1" s="311"/>
      <c r="AA1" s="939" t="s">
        <v>453</v>
      </c>
      <c r="AB1" s="311"/>
      <c r="AC1" s="939" t="s">
        <v>454</v>
      </c>
      <c r="AD1" s="311"/>
      <c r="AE1" s="939" t="s">
        <v>327</v>
      </c>
      <c r="AF1" s="311"/>
      <c r="AG1" s="939" t="s">
        <v>391</v>
      </c>
      <c r="AH1" s="311"/>
      <c r="AI1" s="939" t="s">
        <v>394</v>
      </c>
      <c r="AJ1" s="311"/>
      <c r="AK1" s="939" t="s">
        <v>455</v>
      </c>
      <c r="AL1" s="311"/>
      <c r="AM1" s="939" t="s">
        <v>386</v>
      </c>
      <c r="AN1" s="311"/>
      <c r="AO1" s="939" t="s">
        <v>330</v>
      </c>
      <c r="AP1" s="311"/>
      <c r="AQ1" s="939" t="s">
        <v>388</v>
      </c>
      <c r="AR1" s="311"/>
      <c r="AS1" s="939" t="s">
        <v>456</v>
      </c>
      <c r="AT1" s="311"/>
      <c r="AU1" s="939" t="s">
        <v>457</v>
      </c>
      <c r="AV1" s="311"/>
      <c r="AW1" s="939" t="s">
        <v>387</v>
      </c>
      <c r="AX1" s="311"/>
      <c r="AY1" s="893"/>
      <c r="AZ1" s="893"/>
    </row>
    <row r="2" ht="45.0" customHeight="1">
      <c r="A2" s="890"/>
      <c r="B2" s="941" t="s">
        <v>458</v>
      </c>
      <c r="C2" s="942" t="s">
        <v>27</v>
      </c>
      <c r="D2" s="943" t="s">
        <v>4</v>
      </c>
      <c r="E2" s="943" t="s">
        <v>27</v>
      </c>
      <c r="F2" s="943" t="s">
        <v>4</v>
      </c>
      <c r="G2" s="942" t="s">
        <v>27</v>
      </c>
      <c r="H2" s="943" t="s">
        <v>4</v>
      </c>
      <c r="I2" s="943" t="s">
        <v>27</v>
      </c>
      <c r="J2" s="943" t="s">
        <v>4</v>
      </c>
      <c r="K2" s="943" t="s">
        <v>27</v>
      </c>
      <c r="L2" s="943" t="s">
        <v>4</v>
      </c>
      <c r="M2" s="943" t="s">
        <v>27</v>
      </c>
      <c r="N2" s="943" t="s">
        <v>4</v>
      </c>
      <c r="O2" s="943" t="s">
        <v>27</v>
      </c>
      <c r="P2" s="943" t="s">
        <v>4</v>
      </c>
      <c r="Q2" s="943" t="s">
        <v>27</v>
      </c>
      <c r="R2" s="943" t="s">
        <v>4</v>
      </c>
      <c r="S2" s="943" t="s">
        <v>27</v>
      </c>
      <c r="T2" s="943" t="s">
        <v>4</v>
      </c>
      <c r="U2" s="943" t="s">
        <v>27</v>
      </c>
      <c r="V2" s="943" t="s">
        <v>4</v>
      </c>
      <c r="W2" s="943" t="s">
        <v>27</v>
      </c>
      <c r="X2" s="943" t="s">
        <v>4</v>
      </c>
      <c r="Y2" s="942" t="s">
        <v>27</v>
      </c>
      <c r="Z2" s="943" t="s">
        <v>4</v>
      </c>
      <c r="AA2" s="943" t="s">
        <v>27</v>
      </c>
      <c r="AB2" s="943" t="s">
        <v>4</v>
      </c>
      <c r="AC2" s="943" t="s">
        <v>27</v>
      </c>
      <c r="AD2" s="943" t="s">
        <v>4</v>
      </c>
      <c r="AE2" s="942" t="s">
        <v>27</v>
      </c>
      <c r="AF2" s="943" t="s">
        <v>4</v>
      </c>
      <c r="AG2" s="943" t="s">
        <v>27</v>
      </c>
      <c r="AH2" s="943" t="s">
        <v>4</v>
      </c>
      <c r="AI2" s="943" t="s">
        <v>27</v>
      </c>
      <c r="AJ2" s="943" t="s">
        <v>4</v>
      </c>
      <c r="AK2" s="943" t="s">
        <v>27</v>
      </c>
      <c r="AL2" s="943" t="s">
        <v>4</v>
      </c>
      <c r="AM2" s="943" t="s">
        <v>27</v>
      </c>
      <c r="AN2" s="943" t="s">
        <v>4</v>
      </c>
      <c r="AO2" s="943" t="s">
        <v>27</v>
      </c>
      <c r="AP2" s="943" t="s">
        <v>4</v>
      </c>
      <c r="AQ2" s="943" t="s">
        <v>27</v>
      </c>
      <c r="AR2" s="943" t="s">
        <v>4</v>
      </c>
      <c r="AS2" s="943" t="s">
        <v>27</v>
      </c>
      <c r="AT2" s="943" t="s">
        <v>4</v>
      </c>
      <c r="AU2" s="943" t="s">
        <v>27</v>
      </c>
      <c r="AV2" s="943" t="s">
        <v>4</v>
      </c>
      <c r="AW2" s="943" t="s">
        <v>27</v>
      </c>
      <c r="AX2" s="943" t="s">
        <v>4</v>
      </c>
      <c r="AY2" s="893"/>
      <c r="AZ2" s="893"/>
    </row>
    <row r="3" ht="45.0" customHeight="1">
      <c r="A3" s="895" t="s">
        <v>29</v>
      </c>
      <c r="B3" s="865" t="s">
        <v>337</v>
      </c>
      <c r="C3" s="944">
        <f>AVERAGE(D3:D6)</f>
        <v>8.113636364</v>
      </c>
      <c r="D3" s="945">
        <v>8.227272727272727</v>
      </c>
      <c r="E3" s="946">
        <f>AVERAGE(F3:F6)</f>
        <v>7.647727273</v>
      </c>
      <c r="F3" s="947">
        <v>7.545454545454546</v>
      </c>
      <c r="G3" s="946">
        <f>AVERAGE(H3:H6)</f>
        <v>7.75</v>
      </c>
      <c r="H3" s="948">
        <v>7.857142857142857</v>
      </c>
      <c r="I3" s="767">
        <f>AVERAGE(J3:J6)</f>
        <v>7.442307692</v>
      </c>
      <c r="J3" s="949">
        <v>7.461538461538462</v>
      </c>
      <c r="K3" s="950">
        <f>AVERAGE(L3:L6)</f>
        <v>6.725</v>
      </c>
      <c r="L3" s="951">
        <v>6.4</v>
      </c>
      <c r="M3" s="767">
        <f>AVERAGE(N3:N6)</f>
        <v>7.338235294</v>
      </c>
      <c r="N3" s="952">
        <v>7.0</v>
      </c>
      <c r="O3" s="946">
        <f>AVERAGE(P3:P6)</f>
        <v>7.653846154</v>
      </c>
      <c r="P3" s="945">
        <v>8.307692307692308</v>
      </c>
      <c r="Q3" s="946">
        <f>AVERAGE(R3:R6)</f>
        <v>7.866666667</v>
      </c>
      <c r="R3" s="948">
        <v>7.666666666666667</v>
      </c>
      <c r="S3" s="946">
        <f>AVERAGE(T3:T6)</f>
        <v>7.716666667</v>
      </c>
      <c r="T3" s="948">
        <v>7.866666666666666</v>
      </c>
      <c r="U3" s="946">
        <f>AVERAGE(V3:V6)</f>
        <v>7.692307692</v>
      </c>
      <c r="V3" s="948">
        <v>7.6923076923076925</v>
      </c>
      <c r="W3" s="944">
        <f>AVERAGE(X3:X6)</f>
        <v>8.403846154</v>
      </c>
      <c r="X3" s="953">
        <v>8.461538461538462</v>
      </c>
      <c r="Y3" s="946">
        <f>AVERAGE(Z3:Z6)</f>
        <v>7.659090909</v>
      </c>
      <c r="Z3" s="948">
        <v>7.818181818181818</v>
      </c>
      <c r="AA3" s="767">
        <f>AVERAGE(AB3:AB6)</f>
        <v>7.227272727</v>
      </c>
      <c r="AB3" s="949">
        <v>7.090909090909091</v>
      </c>
      <c r="AC3" s="767">
        <f>AVERAGE(AD3:AD6)</f>
        <v>7.071428571</v>
      </c>
      <c r="AD3" s="954">
        <v>6.0</v>
      </c>
      <c r="AE3" s="946">
        <f>AVERAGE(AF3:AF6)</f>
        <v>7.615384615</v>
      </c>
      <c r="AF3" s="948">
        <v>7.615384615384615</v>
      </c>
      <c r="AG3" s="767">
        <f>AVERAGE(AH3:AH6)</f>
        <v>7.25</v>
      </c>
      <c r="AH3" s="949">
        <v>7.142857142857143</v>
      </c>
      <c r="AI3" s="950">
        <f>AVERAGE(AJ3:AJ6)</f>
        <v>6.8125</v>
      </c>
      <c r="AJ3" s="952">
        <v>6.666666666666667</v>
      </c>
      <c r="AK3" s="946">
        <f>AVERAGE(AL3:AL6)</f>
        <v>7.966666667</v>
      </c>
      <c r="AL3" s="948">
        <v>7.666666666666667</v>
      </c>
      <c r="AM3" s="944">
        <f>AVERAGE(AN3:AN6)</f>
        <v>8.066666667</v>
      </c>
      <c r="AN3" s="948">
        <v>7.8</v>
      </c>
      <c r="AO3" s="946">
        <f>AVERAGE(AP3:AP6)</f>
        <v>7.783333333</v>
      </c>
      <c r="AP3" s="948">
        <v>7.866666666666666</v>
      </c>
      <c r="AQ3" s="946">
        <f>AVERAGE(AR3:AR6)</f>
        <v>7.916666667</v>
      </c>
      <c r="AR3" s="948">
        <v>7.916666666666667</v>
      </c>
      <c r="AS3" s="767">
        <f>AVERAGE(AT3:AT6)</f>
        <v>7.269230769</v>
      </c>
      <c r="AT3" s="949">
        <v>7.153846153846154</v>
      </c>
      <c r="AU3" s="767">
        <f>AVERAGE(AV3:AV6)</f>
        <v>7.366666667</v>
      </c>
      <c r="AV3" s="949">
        <v>7.133333333333334</v>
      </c>
      <c r="AW3" s="944">
        <f>AVERAGE(AX3:AX6)</f>
        <v>8.078125</v>
      </c>
      <c r="AX3" s="948">
        <v>7.9375</v>
      </c>
      <c r="AY3" s="893"/>
      <c r="AZ3" s="893"/>
    </row>
    <row r="4" ht="45.0" customHeight="1">
      <c r="B4" s="865" t="s">
        <v>194</v>
      </c>
      <c r="C4" s="338"/>
      <c r="D4" s="949">
        <v>7.2272727272727275</v>
      </c>
      <c r="E4" s="338"/>
      <c r="F4" s="955">
        <v>7.454545454545454</v>
      </c>
      <c r="G4" s="338"/>
      <c r="H4" s="948">
        <v>7.785714285714286</v>
      </c>
      <c r="I4" s="338"/>
      <c r="J4" s="948">
        <v>7.923076923076923</v>
      </c>
      <c r="K4" s="338"/>
      <c r="L4" s="952">
        <v>6.9</v>
      </c>
      <c r="M4" s="338"/>
      <c r="N4" s="948">
        <v>7.823529411764706</v>
      </c>
      <c r="O4" s="338"/>
      <c r="P4" s="949">
        <v>7.153846153846154</v>
      </c>
      <c r="Q4" s="338"/>
      <c r="R4" s="945">
        <v>8.266666666666667</v>
      </c>
      <c r="S4" s="338"/>
      <c r="T4" s="948">
        <v>7.933333333333334</v>
      </c>
      <c r="U4" s="338"/>
      <c r="V4" s="948">
        <v>7.846153846153846</v>
      </c>
      <c r="W4" s="338"/>
      <c r="X4" s="953">
        <v>8.076923076923077</v>
      </c>
      <c r="Y4" s="338"/>
      <c r="Z4" s="948">
        <v>7.818181818181818</v>
      </c>
      <c r="AA4" s="338"/>
      <c r="AB4" s="948">
        <v>7.545454545454546</v>
      </c>
      <c r="AC4" s="338"/>
      <c r="AD4" s="947">
        <v>7.571428571428571</v>
      </c>
      <c r="AE4" s="338"/>
      <c r="AF4" s="948">
        <v>7.846153846153846</v>
      </c>
      <c r="AG4" s="338"/>
      <c r="AH4" s="949">
        <v>7.5</v>
      </c>
      <c r="AI4" s="338"/>
      <c r="AJ4" s="951">
        <v>6.5</v>
      </c>
      <c r="AK4" s="338"/>
      <c r="AL4" s="945">
        <v>8.4</v>
      </c>
      <c r="AM4" s="338"/>
      <c r="AN4" s="948">
        <v>7.933333333333334</v>
      </c>
      <c r="AO4" s="338"/>
      <c r="AP4" s="948">
        <v>7.8</v>
      </c>
      <c r="AQ4" s="338"/>
      <c r="AR4" s="948">
        <v>8.0</v>
      </c>
      <c r="AS4" s="338"/>
      <c r="AT4" s="948">
        <v>7.923076923076923</v>
      </c>
      <c r="AU4" s="338"/>
      <c r="AV4" s="948">
        <v>7.666666666666667</v>
      </c>
      <c r="AW4" s="338"/>
      <c r="AX4" s="949">
        <v>7.5</v>
      </c>
      <c r="AY4" s="893"/>
      <c r="AZ4" s="893"/>
    </row>
    <row r="5" ht="45.0" customHeight="1">
      <c r="B5" s="865" t="s">
        <v>195</v>
      </c>
      <c r="C5" s="338"/>
      <c r="D5" s="956">
        <v>8.954545454545455</v>
      </c>
      <c r="E5" s="338"/>
      <c r="F5" s="947">
        <v>7.7727272727272725</v>
      </c>
      <c r="G5" s="338"/>
      <c r="H5" s="952">
        <v>7.0</v>
      </c>
      <c r="I5" s="338"/>
      <c r="J5" s="951">
        <v>6.230769230769231</v>
      </c>
      <c r="K5" s="338"/>
      <c r="L5" s="952">
        <v>6.6</v>
      </c>
      <c r="M5" s="338"/>
      <c r="N5" s="952">
        <v>6.588235294117647</v>
      </c>
      <c r="O5" s="338"/>
      <c r="P5" s="952">
        <v>6.846153846153846</v>
      </c>
      <c r="Q5" s="338"/>
      <c r="R5" s="949">
        <v>7.4</v>
      </c>
      <c r="S5" s="338"/>
      <c r="T5" s="952">
        <v>6.866666666666666</v>
      </c>
      <c r="U5" s="338"/>
      <c r="V5" s="952">
        <v>7.0</v>
      </c>
      <c r="W5" s="338"/>
      <c r="X5" s="957">
        <v>9.0</v>
      </c>
      <c r="Y5" s="338"/>
      <c r="Z5" s="949">
        <v>7.181818181818182</v>
      </c>
      <c r="AA5" s="338"/>
      <c r="AB5" s="951">
        <v>6.363636363636363</v>
      </c>
      <c r="AC5" s="338"/>
      <c r="AD5" s="958">
        <v>7.0</v>
      </c>
      <c r="AE5" s="338"/>
      <c r="AF5" s="952">
        <v>6.769230769230769</v>
      </c>
      <c r="AG5" s="338"/>
      <c r="AH5" s="952">
        <v>6.642857142857143</v>
      </c>
      <c r="AI5" s="338"/>
      <c r="AJ5" s="952">
        <v>6.75</v>
      </c>
      <c r="AK5" s="338"/>
      <c r="AL5" s="949">
        <v>7.4</v>
      </c>
      <c r="AM5" s="338"/>
      <c r="AN5" s="945">
        <v>8.4</v>
      </c>
      <c r="AO5" s="338"/>
      <c r="AP5" s="949">
        <v>7.4</v>
      </c>
      <c r="AQ5" s="338"/>
      <c r="AR5" s="948">
        <v>7.583333333333333</v>
      </c>
      <c r="AS5" s="338"/>
      <c r="AT5" s="951">
        <v>6.3076923076923075</v>
      </c>
      <c r="AU5" s="338"/>
      <c r="AV5" s="952">
        <v>7.0</v>
      </c>
      <c r="AW5" s="338"/>
      <c r="AX5" s="959">
        <v>9.125</v>
      </c>
      <c r="AY5" s="893"/>
      <c r="AZ5" s="893"/>
    </row>
    <row r="6" ht="45.0" customHeight="1">
      <c r="B6" s="865" t="s">
        <v>397</v>
      </c>
      <c r="C6" s="547"/>
      <c r="D6" s="945">
        <v>8.045454545454545</v>
      </c>
      <c r="E6" s="547"/>
      <c r="F6" s="947">
        <v>7.818181818181818</v>
      </c>
      <c r="G6" s="547"/>
      <c r="H6" s="945">
        <v>8.357142857142858</v>
      </c>
      <c r="I6" s="547"/>
      <c r="J6" s="945">
        <v>8.153846153846153</v>
      </c>
      <c r="K6" s="547"/>
      <c r="L6" s="952">
        <v>7.0</v>
      </c>
      <c r="M6" s="547"/>
      <c r="N6" s="948">
        <v>7.9411764705882355</v>
      </c>
      <c r="O6" s="547"/>
      <c r="P6" s="945">
        <v>8.307692307692308</v>
      </c>
      <c r="Q6" s="547"/>
      <c r="R6" s="945">
        <v>8.133333333333333</v>
      </c>
      <c r="S6" s="547"/>
      <c r="T6" s="945">
        <v>8.2</v>
      </c>
      <c r="U6" s="547"/>
      <c r="V6" s="945">
        <v>8.23076923076923</v>
      </c>
      <c r="W6" s="547"/>
      <c r="X6" s="953">
        <v>8.076923076923077</v>
      </c>
      <c r="Y6" s="547"/>
      <c r="Z6" s="948">
        <v>7.818181818181818</v>
      </c>
      <c r="AA6" s="547"/>
      <c r="AB6" s="948">
        <v>7.909090909090909</v>
      </c>
      <c r="AC6" s="547"/>
      <c r="AD6" s="947">
        <v>7.714285714285714</v>
      </c>
      <c r="AE6" s="547"/>
      <c r="AF6" s="945">
        <v>8.23076923076923</v>
      </c>
      <c r="AG6" s="547"/>
      <c r="AH6" s="948">
        <v>7.714285714285714</v>
      </c>
      <c r="AI6" s="547"/>
      <c r="AJ6" s="949">
        <v>7.333333333333333</v>
      </c>
      <c r="AK6" s="547"/>
      <c r="AL6" s="945">
        <v>8.4</v>
      </c>
      <c r="AM6" s="547"/>
      <c r="AN6" s="945">
        <v>8.133333333333333</v>
      </c>
      <c r="AO6" s="547"/>
      <c r="AP6" s="945">
        <v>8.066666666666666</v>
      </c>
      <c r="AQ6" s="547"/>
      <c r="AR6" s="945">
        <v>8.166666666666666</v>
      </c>
      <c r="AS6" s="547"/>
      <c r="AT6" s="948">
        <v>7.6923076923076925</v>
      </c>
      <c r="AU6" s="547"/>
      <c r="AV6" s="948">
        <v>7.666666666666667</v>
      </c>
      <c r="AW6" s="547"/>
      <c r="AX6" s="948">
        <v>7.75</v>
      </c>
      <c r="AY6" s="893"/>
      <c r="AZ6" s="893"/>
    </row>
    <row r="7" ht="45.0" customHeight="1">
      <c r="A7" s="908" t="s">
        <v>35</v>
      </c>
      <c r="B7" s="910" t="s">
        <v>196</v>
      </c>
      <c r="C7" s="944">
        <f>AVERAGE(D7:D15)</f>
        <v>8.075757576</v>
      </c>
      <c r="D7" s="945">
        <v>8.181818181818182</v>
      </c>
      <c r="E7" s="944">
        <f>AVERAGE(F7:F15)</f>
        <v>8.090909091</v>
      </c>
      <c r="F7" s="953">
        <v>8.5</v>
      </c>
      <c r="G7" s="944">
        <f>AVERAGE(H7:H15)</f>
        <v>8.119047619</v>
      </c>
      <c r="H7" s="956">
        <v>9.285714285714286</v>
      </c>
      <c r="I7" s="767">
        <f>AVERAGE(J7:J15)</f>
        <v>7.478632479</v>
      </c>
      <c r="J7" s="948">
        <v>8.0</v>
      </c>
      <c r="K7" s="767">
        <f>AVERAGE(L7:L15)</f>
        <v>7.477777778</v>
      </c>
      <c r="L7" s="952">
        <v>7.0</v>
      </c>
      <c r="M7" s="946">
        <f>AVERAGE(N7:N15)</f>
        <v>7.653594771</v>
      </c>
      <c r="N7" s="948">
        <v>7.882352941176471</v>
      </c>
      <c r="O7" s="767">
        <f>AVERAGE(P7:P15)</f>
        <v>7.358974359</v>
      </c>
      <c r="P7" s="948">
        <v>7.769230769230769</v>
      </c>
      <c r="Q7" s="944">
        <f>AVERAGE(R7:R15)</f>
        <v>8.22962963</v>
      </c>
      <c r="R7" s="956">
        <v>8.533333333333333</v>
      </c>
      <c r="S7" s="944">
        <f>AVERAGE(T7:T15)</f>
        <v>8.074074074</v>
      </c>
      <c r="T7" s="945">
        <v>8.466666666666667</v>
      </c>
      <c r="U7" s="946">
        <f>AVERAGE(V7:V15)</f>
        <v>7.64957265</v>
      </c>
      <c r="V7" s="948">
        <v>7.538461538461538</v>
      </c>
      <c r="W7" s="960">
        <f>AVERAGE(X7:X15)</f>
        <v>8.512820513</v>
      </c>
      <c r="X7" s="957">
        <v>8.538461538461538</v>
      </c>
      <c r="Y7" s="944">
        <f>AVERAGE(Z7:Z15)</f>
        <v>8.141414141</v>
      </c>
      <c r="Z7" s="945">
        <v>8.454545454545455</v>
      </c>
      <c r="AA7" s="946">
        <f>AVERAGE(AB7:AB15)</f>
        <v>7.525252525</v>
      </c>
      <c r="AB7" s="949">
        <v>7.454545454545454</v>
      </c>
      <c r="AC7" s="946">
        <f>AVERAGE(AD7:AD15)</f>
        <v>7.761904762</v>
      </c>
      <c r="AD7" s="957">
        <v>8.571428571428571</v>
      </c>
      <c r="AE7" s="944">
        <f>AVERAGE(AF7:AF15)</f>
        <v>8.008547009</v>
      </c>
      <c r="AF7" s="945">
        <v>8.461538461538462</v>
      </c>
      <c r="AG7" s="767">
        <f>AVERAGE(AH7:AH15)</f>
        <v>7.452380952</v>
      </c>
      <c r="AH7" s="952">
        <v>6.928571428571429</v>
      </c>
      <c r="AI7" s="950">
        <f>AVERAGE(AJ7:AJ15)</f>
        <v>6.916666667</v>
      </c>
      <c r="AJ7" s="951">
        <v>5.916666666666667</v>
      </c>
      <c r="AK7" s="944">
        <f>AVERAGE(AL7:AL15)</f>
        <v>8.111111111</v>
      </c>
      <c r="AL7" s="959">
        <v>8.8</v>
      </c>
      <c r="AM7" s="946">
        <f>AVERAGE(AN7:AN15)</f>
        <v>7.992592593</v>
      </c>
      <c r="AN7" s="945">
        <v>8.4</v>
      </c>
      <c r="AO7" s="946">
        <f>AVERAGE(AP7:AP15)</f>
        <v>7.674074074</v>
      </c>
      <c r="AP7" s="948">
        <v>7.6</v>
      </c>
      <c r="AQ7" s="944">
        <f>AVERAGE(AR7:AR15)</f>
        <v>8.027777778</v>
      </c>
      <c r="AR7" s="948">
        <v>8.0</v>
      </c>
      <c r="AS7" s="946">
        <f>AVERAGE(AT7:AT15)</f>
        <v>7.58974359</v>
      </c>
      <c r="AT7" s="948">
        <v>7.846153846153846</v>
      </c>
      <c r="AU7" s="946">
        <f>AVERAGE(AV7:AV15)</f>
        <v>7.511111111</v>
      </c>
      <c r="AV7" s="948">
        <v>7.8</v>
      </c>
      <c r="AW7" s="946">
        <f>AVERAGE(AX7:AX15)</f>
        <v>7.798611111</v>
      </c>
      <c r="AX7" s="948">
        <v>7.5625</v>
      </c>
      <c r="AY7" s="893"/>
      <c r="AZ7" s="893"/>
    </row>
    <row r="8" ht="45.0" customHeight="1">
      <c r="B8" s="910" t="s">
        <v>398</v>
      </c>
      <c r="C8" s="338"/>
      <c r="D8" s="945">
        <v>8.318181818181818</v>
      </c>
      <c r="E8" s="338"/>
      <c r="F8" s="957">
        <v>8.590909090909092</v>
      </c>
      <c r="G8" s="338"/>
      <c r="H8" s="945">
        <v>8.071428571428571</v>
      </c>
      <c r="I8" s="338"/>
      <c r="J8" s="948">
        <v>7.6923076923076925</v>
      </c>
      <c r="K8" s="338"/>
      <c r="L8" s="948">
        <v>7.9</v>
      </c>
      <c r="M8" s="338"/>
      <c r="N8" s="949">
        <v>7.294117647058823</v>
      </c>
      <c r="O8" s="338"/>
      <c r="P8" s="948">
        <v>7.846153846153846</v>
      </c>
      <c r="Q8" s="338"/>
      <c r="R8" s="945">
        <v>8.133333333333333</v>
      </c>
      <c r="S8" s="338"/>
      <c r="T8" s="945">
        <v>8.133333333333333</v>
      </c>
      <c r="U8" s="338"/>
      <c r="V8" s="948">
        <v>7.769230769230769</v>
      </c>
      <c r="W8" s="338"/>
      <c r="X8" s="957">
        <v>8.923076923076923</v>
      </c>
      <c r="Y8" s="338"/>
      <c r="Z8" s="945">
        <v>8.363636363636363</v>
      </c>
      <c r="AA8" s="338"/>
      <c r="AB8" s="952">
        <v>6.818181818181818</v>
      </c>
      <c r="AC8" s="338"/>
      <c r="AD8" s="955">
        <v>7.142857142857143</v>
      </c>
      <c r="AE8" s="338"/>
      <c r="AF8" s="948">
        <v>8.0</v>
      </c>
      <c r="AG8" s="338"/>
      <c r="AH8" s="949">
        <v>7.357142857142857</v>
      </c>
      <c r="AI8" s="338"/>
      <c r="AJ8" s="952">
        <v>6.666666666666667</v>
      </c>
      <c r="AK8" s="338"/>
      <c r="AL8" s="948">
        <v>7.666666666666667</v>
      </c>
      <c r="AM8" s="338"/>
      <c r="AN8" s="945">
        <v>8.066666666666666</v>
      </c>
      <c r="AO8" s="338"/>
      <c r="AP8" s="945">
        <v>8.466666666666667</v>
      </c>
      <c r="AQ8" s="338"/>
      <c r="AR8" s="945">
        <v>8.083333333333334</v>
      </c>
      <c r="AS8" s="338"/>
      <c r="AT8" s="952">
        <v>6.615384615384615</v>
      </c>
      <c r="AU8" s="338"/>
      <c r="AV8" s="952">
        <v>6.866666666666666</v>
      </c>
      <c r="AW8" s="338"/>
      <c r="AX8" s="945">
        <v>8.25</v>
      </c>
      <c r="AY8" s="893"/>
      <c r="AZ8" s="893"/>
    </row>
    <row r="9" ht="45.0" customHeight="1">
      <c r="B9" s="910" t="s">
        <v>198</v>
      </c>
      <c r="C9" s="338"/>
      <c r="D9" s="945">
        <v>8.090909090909092</v>
      </c>
      <c r="E9" s="338"/>
      <c r="F9" s="953">
        <v>8.181818181818182</v>
      </c>
      <c r="G9" s="338"/>
      <c r="H9" s="956">
        <v>9.071428571428571</v>
      </c>
      <c r="I9" s="338"/>
      <c r="J9" s="948">
        <v>7.538461538461538</v>
      </c>
      <c r="K9" s="338"/>
      <c r="L9" s="952">
        <v>7.1</v>
      </c>
      <c r="M9" s="338"/>
      <c r="N9" s="948">
        <v>7.764705882352941</v>
      </c>
      <c r="O9" s="338"/>
      <c r="P9" s="948">
        <v>7.846153846153846</v>
      </c>
      <c r="Q9" s="338"/>
      <c r="R9" s="945">
        <v>8.466666666666667</v>
      </c>
      <c r="S9" s="338"/>
      <c r="T9" s="945">
        <v>8.266666666666667</v>
      </c>
      <c r="U9" s="338"/>
      <c r="V9" s="948">
        <v>7.6923076923076925</v>
      </c>
      <c r="W9" s="338"/>
      <c r="X9" s="957">
        <v>8.615384615384615</v>
      </c>
      <c r="Y9" s="338"/>
      <c r="Z9" s="945">
        <v>8.363636363636363</v>
      </c>
      <c r="AA9" s="338"/>
      <c r="AB9" s="948">
        <v>7.909090909090909</v>
      </c>
      <c r="AC9" s="338"/>
      <c r="AD9" s="957">
        <v>8.714285714285714</v>
      </c>
      <c r="AE9" s="338"/>
      <c r="AF9" s="945">
        <v>8.153846153846153</v>
      </c>
      <c r="AG9" s="338"/>
      <c r="AH9" s="949">
        <v>7.5</v>
      </c>
      <c r="AI9" s="338"/>
      <c r="AJ9" s="951">
        <v>6.0</v>
      </c>
      <c r="AK9" s="338"/>
      <c r="AL9" s="945">
        <v>8.466666666666667</v>
      </c>
      <c r="AM9" s="338"/>
      <c r="AN9" s="948">
        <v>7.666666666666667</v>
      </c>
      <c r="AO9" s="338"/>
      <c r="AP9" s="952">
        <v>7.0</v>
      </c>
      <c r="AQ9" s="338"/>
      <c r="AR9" s="945">
        <v>8.416666666666666</v>
      </c>
      <c r="AS9" s="338"/>
      <c r="AT9" s="948">
        <v>7.846153846153846</v>
      </c>
      <c r="AU9" s="338"/>
      <c r="AV9" s="948">
        <v>8.0</v>
      </c>
      <c r="AW9" s="338"/>
      <c r="AX9" s="945">
        <v>8.0625</v>
      </c>
      <c r="AY9" s="893"/>
      <c r="AZ9" s="893"/>
    </row>
    <row r="10" ht="45.0" customHeight="1">
      <c r="B10" s="910" t="s">
        <v>199</v>
      </c>
      <c r="C10" s="338"/>
      <c r="D10" s="945">
        <v>8.454545454545455</v>
      </c>
      <c r="E10" s="338"/>
      <c r="F10" s="953">
        <v>8.181818181818182</v>
      </c>
      <c r="G10" s="338"/>
      <c r="H10" s="945">
        <v>8.142857142857142</v>
      </c>
      <c r="I10" s="338"/>
      <c r="J10" s="949">
        <v>7.461538461538462</v>
      </c>
      <c r="K10" s="338"/>
      <c r="L10" s="948">
        <v>7.6</v>
      </c>
      <c r="M10" s="338"/>
      <c r="N10" s="948">
        <v>7.823529411764706</v>
      </c>
      <c r="O10" s="338"/>
      <c r="P10" s="949">
        <v>7.230769230769231</v>
      </c>
      <c r="Q10" s="338"/>
      <c r="R10" s="956">
        <v>8.533333333333333</v>
      </c>
      <c r="S10" s="338"/>
      <c r="T10" s="948">
        <v>7.933333333333334</v>
      </c>
      <c r="U10" s="338"/>
      <c r="V10" s="948">
        <v>7.6923076923076925</v>
      </c>
      <c r="W10" s="338"/>
      <c r="X10" s="957">
        <v>8.615384615384615</v>
      </c>
      <c r="Y10" s="338"/>
      <c r="Z10" s="945">
        <v>8.272727272727273</v>
      </c>
      <c r="AA10" s="338"/>
      <c r="AB10" s="949">
        <v>7.181818181818182</v>
      </c>
      <c r="AC10" s="338"/>
      <c r="AD10" s="947">
        <v>8.0</v>
      </c>
      <c r="AE10" s="338"/>
      <c r="AF10" s="945">
        <v>8.461538461538462</v>
      </c>
      <c r="AG10" s="338"/>
      <c r="AH10" s="948">
        <v>7.571428571428571</v>
      </c>
      <c r="AI10" s="338"/>
      <c r="AJ10" s="949">
        <v>7.166666666666667</v>
      </c>
      <c r="AK10" s="338"/>
      <c r="AL10" s="945">
        <v>8.266666666666667</v>
      </c>
      <c r="AM10" s="338"/>
      <c r="AN10" s="945">
        <v>8.4</v>
      </c>
      <c r="AO10" s="338"/>
      <c r="AP10" s="949">
        <v>7.466666666666667</v>
      </c>
      <c r="AQ10" s="338"/>
      <c r="AR10" s="949">
        <v>7.416666666666667</v>
      </c>
      <c r="AS10" s="338"/>
      <c r="AT10" s="948">
        <v>7.923076923076923</v>
      </c>
      <c r="AU10" s="338"/>
      <c r="AV10" s="949">
        <v>7.266666666666667</v>
      </c>
      <c r="AW10" s="338"/>
      <c r="AX10" s="945">
        <v>8.3125</v>
      </c>
      <c r="AY10" s="893"/>
      <c r="AZ10" s="893"/>
    </row>
    <row r="11" ht="45.0" customHeight="1">
      <c r="B11" s="910" t="s">
        <v>200</v>
      </c>
      <c r="C11" s="338"/>
      <c r="D11" s="945">
        <v>8.318181818181818</v>
      </c>
      <c r="E11" s="338"/>
      <c r="F11" s="953">
        <v>8.136363636363637</v>
      </c>
      <c r="G11" s="338"/>
      <c r="H11" s="948">
        <v>7.928571428571429</v>
      </c>
      <c r="I11" s="338"/>
      <c r="J11" s="952">
        <v>6.923076923076923</v>
      </c>
      <c r="K11" s="338"/>
      <c r="L11" s="945">
        <v>8.2</v>
      </c>
      <c r="M11" s="338"/>
      <c r="N11" s="945">
        <v>8.058823529411764</v>
      </c>
      <c r="O11" s="338"/>
      <c r="P11" s="952">
        <v>7.076923076923077</v>
      </c>
      <c r="Q11" s="338"/>
      <c r="R11" s="945">
        <v>8.466666666666667</v>
      </c>
      <c r="S11" s="338"/>
      <c r="T11" s="945">
        <v>8.2</v>
      </c>
      <c r="U11" s="338"/>
      <c r="V11" s="949">
        <v>7.153846153846154</v>
      </c>
      <c r="W11" s="338"/>
      <c r="X11" s="953">
        <v>8.461538461538462</v>
      </c>
      <c r="Y11" s="338"/>
      <c r="Z11" s="945">
        <v>8.090909090909092</v>
      </c>
      <c r="AA11" s="338"/>
      <c r="AB11" s="945">
        <v>8.090909090909092</v>
      </c>
      <c r="AC11" s="338"/>
      <c r="AD11" s="947">
        <v>8.0</v>
      </c>
      <c r="AE11" s="338"/>
      <c r="AF11" s="945">
        <v>8.076923076923077</v>
      </c>
      <c r="AG11" s="338"/>
      <c r="AH11" s="948">
        <v>7.857142857142857</v>
      </c>
      <c r="AI11" s="338"/>
      <c r="AJ11" s="948">
        <v>7.666666666666667</v>
      </c>
      <c r="AK11" s="338"/>
      <c r="AL11" s="945">
        <v>8.4</v>
      </c>
      <c r="AM11" s="338"/>
      <c r="AN11" s="945">
        <v>8.133333333333333</v>
      </c>
      <c r="AO11" s="338"/>
      <c r="AP11" s="948">
        <v>7.533333333333333</v>
      </c>
      <c r="AQ11" s="338"/>
      <c r="AR11" s="945">
        <v>8.416666666666666</v>
      </c>
      <c r="AS11" s="338"/>
      <c r="AT11" s="948">
        <v>7.923076923076923</v>
      </c>
      <c r="AU11" s="338"/>
      <c r="AV11" s="945">
        <v>8.066666666666666</v>
      </c>
      <c r="AW11" s="338"/>
      <c r="AX11" s="948">
        <v>7.875</v>
      </c>
      <c r="AY11" s="893"/>
      <c r="AZ11" s="893"/>
    </row>
    <row r="12" ht="45.0" customHeight="1">
      <c r="B12" s="910" t="s">
        <v>201</v>
      </c>
      <c r="C12" s="338"/>
      <c r="D12" s="948">
        <v>7.818181818181818</v>
      </c>
      <c r="E12" s="338"/>
      <c r="F12" s="953">
        <v>8.045454545454545</v>
      </c>
      <c r="G12" s="338"/>
      <c r="H12" s="952">
        <v>6.714285714285714</v>
      </c>
      <c r="I12" s="338"/>
      <c r="J12" s="949">
        <v>7.230769230769231</v>
      </c>
      <c r="K12" s="338"/>
      <c r="L12" s="948">
        <v>7.6</v>
      </c>
      <c r="M12" s="338"/>
      <c r="N12" s="949">
        <v>7.470588235294118</v>
      </c>
      <c r="O12" s="338"/>
      <c r="P12" s="951">
        <v>6.461538461538462</v>
      </c>
      <c r="Q12" s="338"/>
      <c r="R12" s="948">
        <v>8.0</v>
      </c>
      <c r="S12" s="338"/>
      <c r="T12" s="948">
        <v>7.866666666666666</v>
      </c>
      <c r="U12" s="338"/>
      <c r="V12" s="948">
        <v>8.0</v>
      </c>
      <c r="W12" s="338"/>
      <c r="X12" s="957">
        <v>8.923076923076923</v>
      </c>
      <c r="Y12" s="338"/>
      <c r="Z12" s="948">
        <v>8.0</v>
      </c>
      <c r="AA12" s="338"/>
      <c r="AB12" s="945">
        <v>8.090909090909092</v>
      </c>
      <c r="AC12" s="338"/>
      <c r="AD12" s="958">
        <v>6.571428571428571</v>
      </c>
      <c r="AE12" s="338"/>
      <c r="AF12" s="949">
        <v>7.230769230769231</v>
      </c>
      <c r="AG12" s="338"/>
      <c r="AH12" s="948">
        <v>7.714285714285714</v>
      </c>
      <c r="AI12" s="338"/>
      <c r="AJ12" s="948">
        <v>7.833333333333333</v>
      </c>
      <c r="AK12" s="338"/>
      <c r="AL12" s="948">
        <v>7.866666666666666</v>
      </c>
      <c r="AM12" s="338"/>
      <c r="AN12" s="945">
        <v>8.2</v>
      </c>
      <c r="AO12" s="338"/>
      <c r="AP12" s="948">
        <v>7.933333333333334</v>
      </c>
      <c r="AQ12" s="338"/>
      <c r="AR12" s="948">
        <v>7.916666666666667</v>
      </c>
      <c r="AS12" s="338"/>
      <c r="AT12" s="948">
        <v>7.615384615384615</v>
      </c>
      <c r="AU12" s="338"/>
      <c r="AV12" s="948">
        <v>7.666666666666667</v>
      </c>
      <c r="AW12" s="338"/>
      <c r="AX12" s="949">
        <v>7.5</v>
      </c>
      <c r="AY12" s="893"/>
      <c r="AZ12" s="893"/>
    </row>
    <row r="13" ht="45.0" customHeight="1">
      <c r="B13" s="910" t="s">
        <v>235</v>
      </c>
      <c r="C13" s="338"/>
      <c r="D13" s="956">
        <v>8.681818181818182</v>
      </c>
      <c r="E13" s="338"/>
      <c r="F13" s="953">
        <v>8.318181818181818</v>
      </c>
      <c r="G13" s="338"/>
      <c r="H13" s="949">
        <v>7.428571428571429</v>
      </c>
      <c r="I13" s="338"/>
      <c r="J13" s="952">
        <v>6.6923076923076925</v>
      </c>
      <c r="K13" s="338"/>
      <c r="L13" s="948">
        <v>8.0</v>
      </c>
      <c r="M13" s="338"/>
      <c r="N13" s="948">
        <v>7.705882352941177</v>
      </c>
      <c r="O13" s="338"/>
      <c r="P13" s="949">
        <v>7.230769230769231</v>
      </c>
      <c r="Q13" s="338"/>
      <c r="R13" s="956">
        <v>8.533333333333333</v>
      </c>
      <c r="S13" s="338"/>
      <c r="T13" s="945">
        <v>8.266666666666667</v>
      </c>
      <c r="U13" s="338"/>
      <c r="V13" s="948">
        <v>7.6923076923076925</v>
      </c>
      <c r="W13" s="338"/>
      <c r="X13" s="957">
        <v>8.846153846153847</v>
      </c>
      <c r="Y13" s="338"/>
      <c r="Z13" s="945">
        <v>8.272727272727273</v>
      </c>
      <c r="AA13" s="338"/>
      <c r="AB13" s="948">
        <v>7.636363636363637</v>
      </c>
      <c r="AC13" s="338"/>
      <c r="AD13" s="953">
        <v>8.285714285714286</v>
      </c>
      <c r="AE13" s="338"/>
      <c r="AF13" s="945">
        <v>8.076923076923077</v>
      </c>
      <c r="AG13" s="338"/>
      <c r="AH13" s="948">
        <v>7.571428571428571</v>
      </c>
      <c r="AI13" s="338"/>
      <c r="AJ13" s="952">
        <v>7.083333333333333</v>
      </c>
      <c r="AK13" s="338"/>
      <c r="AL13" s="945">
        <v>8.2</v>
      </c>
      <c r="AM13" s="338"/>
      <c r="AN13" s="945">
        <v>8.466666666666667</v>
      </c>
      <c r="AO13" s="338"/>
      <c r="AP13" s="949">
        <v>7.466666666666667</v>
      </c>
      <c r="AQ13" s="338"/>
      <c r="AR13" s="945">
        <v>8.333333333333334</v>
      </c>
      <c r="AS13" s="338"/>
      <c r="AT13" s="948">
        <v>7.615384615384615</v>
      </c>
      <c r="AU13" s="338"/>
      <c r="AV13" s="948">
        <v>7.533333333333333</v>
      </c>
      <c r="AW13" s="338"/>
      <c r="AX13" s="945">
        <v>8.3125</v>
      </c>
      <c r="AY13" s="893"/>
      <c r="AZ13" s="893"/>
    </row>
    <row r="14" ht="45.0" customHeight="1">
      <c r="B14" s="910" t="s">
        <v>339</v>
      </c>
      <c r="C14" s="338"/>
      <c r="D14" s="948">
        <v>7.7727272727272725</v>
      </c>
      <c r="E14" s="338"/>
      <c r="F14" s="947">
        <v>7.7272727272727275</v>
      </c>
      <c r="G14" s="338"/>
      <c r="H14" s="945">
        <v>8.071428571428571</v>
      </c>
      <c r="I14" s="338"/>
      <c r="J14" s="945">
        <v>8.153846153846153</v>
      </c>
      <c r="K14" s="338"/>
      <c r="L14" s="952">
        <v>6.9</v>
      </c>
      <c r="M14" s="338"/>
      <c r="N14" s="948">
        <v>7.588235294117647</v>
      </c>
      <c r="O14" s="338"/>
      <c r="P14" s="948">
        <v>7.615384615384615</v>
      </c>
      <c r="Q14" s="338"/>
      <c r="R14" s="948">
        <v>7.866666666666666</v>
      </c>
      <c r="S14" s="338"/>
      <c r="T14" s="948">
        <v>7.666666666666667</v>
      </c>
      <c r="U14" s="338"/>
      <c r="V14" s="948">
        <v>7.538461538461538</v>
      </c>
      <c r="W14" s="338"/>
      <c r="X14" s="953">
        <v>8.076923076923077</v>
      </c>
      <c r="Y14" s="338"/>
      <c r="Z14" s="945">
        <v>8.181818181818182</v>
      </c>
      <c r="AA14" s="338"/>
      <c r="AB14" s="949">
        <v>7.2727272727272725</v>
      </c>
      <c r="AC14" s="338"/>
      <c r="AD14" s="947">
        <v>7.714285714285714</v>
      </c>
      <c r="AE14" s="338"/>
      <c r="AF14" s="948">
        <v>7.846153846153846</v>
      </c>
      <c r="AG14" s="338"/>
      <c r="AH14" s="949">
        <v>7.142857142857143</v>
      </c>
      <c r="AI14" s="338"/>
      <c r="AJ14" s="952">
        <v>6.75</v>
      </c>
      <c r="AK14" s="338"/>
      <c r="AL14" s="948">
        <v>7.733333333333333</v>
      </c>
      <c r="AM14" s="338"/>
      <c r="AN14" s="948">
        <v>7.533333333333333</v>
      </c>
      <c r="AO14" s="338"/>
      <c r="AP14" s="948">
        <v>7.866666666666666</v>
      </c>
      <c r="AQ14" s="338"/>
      <c r="AR14" s="949">
        <v>7.5</v>
      </c>
      <c r="AS14" s="338"/>
      <c r="AT14" s="948">
        <v>7.6923076923076925</v>
      </c>
      <c r="AU14" s="338"/>
      <c r="AV14" s="952">
        <v>7.066666666666666</v>
      </c>
      <c r="AW14" s="338"/>
      <c r="AX14" s="949">
        <v>7.1875</v>
      </c>
      <c r="AY14" s="893"/>
      <c r="AZ14" s="893"/>
    </row>
    <row r="15" ht="45.0" customHeight="1">
      <c r="B15" s="910" t="s">
        <v>459</v>
      </c>
      <c r="C15" s="547"/>
      <c r="D15" s="949">
        <v>7.045454545454546</v>
      </c>
      <c r="E15" s="547"/>
      <c r="F15" s="955">
        <v>7.136363636363637</v>
      </c>
      <c r="G15" s="547"/>
      <c r="H15" s="945">
        <v>8.357142857142858</v>
      </c>
      <c r="I15" s="547"/>
      <c r="J15" s="948">
        <v>7.615384615384615</v>
      </c>
      <c r="K15" s="547"/>
      <c r="L15" s="952">
        <v>7.0</v>
      </c>
      <c r="M15" s="547"/>
      <c r="N15" s="949">
        <v>7.294117647058823</v>
      </c>
      <c r="O15" s="547"/>
      <c r="P15" s="949">
        <v>7.153846153846154</v>
      </c>
      <c r="Q15" s="547"/>
      <c r="R15" s="948">
        <v>7.533333333333333</v>
      </c>
      <c r="S15" s="547"/>
      <c r="T15" s="948">
        <v>7.866666666666666</v>
      </c>
      <c r="U15" s="547"/>
      <c r="V15" s="948">
        <v>7.769230769230769</v>
      </c>
      <c r="W15" s="547"/>
      <c r="X15" s="947">
        <v>7.615384615384615</v>
      </c>
      <c r="Y15" s="547"/>
      <c r="Z15" s="949">
        <v>7.2727272727272725</v>
      </c>
      <c r="AA15" s="547"/>
      <c r="AB15" s="949">
        <v>7.2727272727272725</v>
      </c>
      <c r="AC15" s="547"/>
      <c r="AD15" s="958">
        <v>6.857142857142857</v>
      </c>
      <c r="AE15" s="547"/>
      <c r="AF15" s="948">
        <v>7.769230769230769</v>
      </c>
      <c r="AG15" s="547"/>
      <c r="AH15" s="949">
        <v>7.428571428571429</v>
      </c>
      <c r="AI15" s="547"/>
      <c r="AJ15" s="949">
        <v>7.166666666666667</v>
      </c>
      <c r="AK15" s="547"/>
      <c r="AL15" s="948">
        <v>7.6</v>
      </c>
      <c r="AM15" s="547"/>
      <c r="AN15" s="952">
        <v>7.066666666666666</v>
      </c>
      <c r="AO15" s="547"/>
      <c r="AP15" s="948">
        <v>7.733333333333333</v>
      </c>
      <c r="AQ15" s="547"/>
      <c r="AR15" s="945">
        <v>8.166666666666666</v>
      </c>
      <c r="AS15" s="547"/>
      <c r="AT15" s="949">
        <v>7.230769230769231</v>
      </c>
      <c r="AU15" s="547"/>
      <c r="AV15" s="949">
        <v>7.333333333333333</v>
      </c>
      <c r="AW15" s="547"/>
      <c r="AX15" s="949">
        <v>7.125</v>
      </c>
      <c r="AY15" s="893"/>
      <c r="AZ15" s="893"/>
    </row>
    <row r="16" ht="45.0" customHeight="1">
      <c r="A16" s="911" t="s">
        <v>42</v>
      </c>
      <c r="B16" s="913" t="s">
        <v>41</v>
      </c>
      <c r="C16" s="944">
        <f>AVERAGE(D16:D20)</f>
        <v>8.145454545</v>
      </c>
      <c r="D16" s="945">
        <v>8.318181818181818</v>
      </c>
      <c r="E16" s="944">
        <f>AVERAGE(F16:F20)</f>
        <v>8.145454545</v>
      </c>
      <c r="F16" s="947">
        <v>8.0</v>
      </c>
      <c r="G16" s="944">
        <f>AVERAGE(H16:H20)</f>
        <v>8.257142857</v>
      </c>
      <c r="H16" s="945">
        <v>8.357142857142858</v>
      </c>
      <c r="I16" s="946">
        <f>AVERAGE(J16:J20)</f>
        <v>7.753846154</v>
      </c>
      <c r="J16" s="949">
        <v>7.230769230769231</v>
      </c>
      <c r="K16" s="950">
        <f>AVERAGE(L16:L20)</f>
        <v>6.64</v>
      </c>
      <c r="L16" s="951">
        <v>6.4</v>
      </c>
      <c r="M16" s="767">
        <f>AVERAGE(N16:N20)</f>
        <v>7.352941176</v>
      </c>
      <c r="N16" s="949">
        <v>7.235294117647059</v>
      </c>
      <c r="O16" s="946">
        <f>AVERAGE(P16:P20)</f>
        <v>7.892307692</v>
      </c>
      <c r="P16" s="948">
        <v>7.615384615384615</v>
      </c>
      <c r="Q16" s="946">
        <f>AVERAGE(R16:R20)</f>
        <v>7.933333333</v>
      </c>
      <c r="R16" s="945">
        <v>8.266666666666667</v>
      </c>
      <c r="S16" s="944">
        <f>AVERAGE(T16:T20)</f>
        <v>8.2</v>
      </c>
      <c r="T16" s="945">
        <v>8.266666666666667</v>
      </c>
      <c r="U16" s="946">
        <f>AVERAGE(V16:V20)</f>
        <v>7.692307692</v>
      </c>
      <c r="V16" s="948">
        <v>7.615384615384615</v>
      </c>
      <c r="W16" s="960">
        <f>AVERAGE(X16:X20)</f>
        <v>8.707692308</v>
      </c>
      <c r="X16" s="957">
        <v>9.23076923076923</v>
      </c>
      <c r="Y16" s="944">
        <f>AVERAGE(Z16:Z20)</f>
        <v>8.163636364</v>
      </c>
      <c r="Z16" s="945">
        <v>8.181818181818182</v>
      </c>
      <c r="AA16" s="767">
        <f>AVERAGE(AB16:AB20)</f>
        <v>7.309090909</v>
      </c>
      <c r="AB16" s="952">
        <v>6.909090909090909</v>
      </c>
      <c r="AC16" s="950">
        <f>AVERAGE(AD16:AD20)</f>
        <v>6.857142857</v>
      </c>
      <c r="AD16" s="958">
        <v>6.714285714285714</v>
      </c>
      <c r="AE16" s="946">
        <f>AVERAGE(AF16:AF20)</f>
        <v>7.969230769</v>
      </c>
      <c r="AF16" s="945">
        <v>8.307692307692308</v>
      </c>
      <c r="AG16" s="767">
        <f>AVERAGE(AH16:AH20)</f>
        <v>7.3</v>
      </c>
      <c r="AH16" s="952">
        <v>7.0</v>
      </c>
      <c r="AI16" s="950">
        <f>AVERAGE(AJ16:AJ20)</f>
        <v>6.883333333</v>
      </c>
      <c r="AJ16" s="951">
        <v>6.083333333333333</v>
      </c>
      <c r="AK16" s="946">
        <f>AVERAGE(AL16:AL20)</f>
        <v>7.653333333</v>
      </c>
      <c r="AL16" s="945">
        <v>8.2</v>
      </c>
      <c r="AM16" s="946">
        <f>AVERAGE(AN16:AN20)</f>
        <v>7.866666667</v>
      </c>
      <c r="AN16" s="948">
        <v>8.0</v>
      </c>
      <c r="AO16" s="944">
        <f>AVERAGE(AP16:AP20)</f>
        <v>8.2</v>
      </c>
      <c r="AP16" s="945">
        <v>8.133333333333333</v>
      </c>
      <c r="AQ16" s="944">
        <f>AVERAGE(AR16:AR20)</f>
        <v>8.033333333</v>
      </c>
      <c r="AR16" s="945">
        <v>8.25</v>
      </c>
      <c r="AS16" s="950">
        <f>AVERAGE(AT16:AT20)</f>
        <v>7</v>
      </c>
      <c r="AT16" s="952">
        <v>6.846153846153846</v>
      </c>
      <c r="AU16" s="950">
        <f>AVERAGE(AV16:AV20)</f>
        <v>6.893333333</v>
      </c>
      <c r="AV16" s="952">
        <v>6.533333333333333</v>
      </c>
      <c r="AW16" s="946">
        <f>AVERAGE(AX16:AX20)</f>
        <v>7.775</v>
      </c>
      <c r="AX16" s="948">
        <v>7.9375</v>
      </c>
      <c r="AY16" s="893"/>
      <c r="AZ16" s="893"/>
    </row>
    <row r="17" ht="45.0" customHeight="1">
      <c r="B17" s="913" t="s">
        <v>203</v>
      </c>
      <c r="C17" s="338"/>
      <c r="D17" s="948">
        <v>7.954545454545454</v>
      </c>
      <c r="E17" s="338"/>
      <c r="F17" s="953">
        <v>8.181818181818182</v>
      </c>
      <c r="G17" s="338"/>
      <c r="H17" s="948">
        <v>7.642857142857143</v>
      </c>
      <c r="I17" s="338"/>
      <c r="J17" s="945">
        <v>8.384615384615385</v>
      </c>
      <c r="K17" s="338"/>
      <c r="L17" s="952">
        <v>6.8</v>
      </c>
      <c r="M17" s="338"/>
      <c r="N17" s="949">
        <v>7.294117647058823</v>
      </c>
      <c r="O17" s="338"/>
      <c r="P17" s="948">
        <v>7.923076923076923</v>
      </c>
      <c r="Q17" s="338"/>
      <c r="R17" s="948">
        <v>7.933333333333334</v>
      </c>
      <c r="S17" s="338"/>
      <c r="T17" s="948">
        <v>8.0</v>
      </c>
      <c r="U17" s="338"/>
      <c r="V17" s="948">
        <v>7.846153846153846</v>
      </c>
      <c r="W17" s="338"/>
      <c r="X17" s="957">
        <v>9.0</v>
      </c>
      <c r="Y17" s="338"/>
      <c r="Z17" s="945">
        <v>8.272727272727273</v>
      </c>
      <c r="AA17" s="338"/>
      <c r="AB17" s="949">
        <v>7.454545454545454</v>
      </c>
      <c r="AC17" s="338"/>
      <c r="AD17" s="954">
        <v>6.428571428571429</v>
      </c>
      <c r="AE17" s="338"/>
      <c r="AF17" s="948">
        <v>7.769230769230769</v>
      </c>
      <c r="AG17" s="338"/>
      <c r="AH17" s="952">
        <v>7.0</v>
      </c>
      <c r="AI17" s="338"/>
      <c r="AJ17" s="952">
        <v>6.833333333333333</v>
      </c>
      <c r="AK17" s="338"/>
      <c r="AL17" s="949">
        <v>7.2</v>
      </c>
      <c r="AM17" s="338"/>
      <c r="AN17" s="949">
        <v>7.333333333333333</v>
      </c>
      <c r="AO17" s="338"/>
      <c r="AP17" s="945">
        <v>8.266666666666667</v>
      </c>
      <c r="AQ17" s="338"/>
      <c r="AR17" s="948">
        <v>7.916666666666667</v>
      </c>
      <c r="AS17" s="338"/>
      <c r="AT17" s="952">
        <v>6.846153846153846</v>
      </c>
      <c r="AU17" s="338"/>
      <c r="AV17" s="952">
        <v>6.866666666666666</v>
      </c>
      <c r="AW17" s="338"/>
      <c r="AX17" s="948">
        <v>7.625</v>
      </c>
      <c r="AY17" s="893"/>
      <c r="AZ17" s="893"/>
    </row>
    <row r="18" ht="45.0" customHeight="1">
      <c r="B18" s="913" t="s">
        <v>205</v>
      </c>
      <c r="C18" s="338"/>
      <c r="D18" s="945">
        <v>8.227272727272727</v>
      </c>
      <c r="E18" s="338"/>
      <c r="F18" s="947">
        <v>8.0</v>
      </c>
      <c r="G18" s="338"/>
      <c r="H18" s="945">
        <v>8.285714285714286</v>
      </c>
      <c r="I18" s="338"/>
      <c r="J18" s="949">
        <v>7.230769230769231</v>
      </c>
      <c r="K18" s="338"/>
      <c r="L18" s="951">
        <v>6.3</v>
      </c>
      <c r="M18" s="338"/>
      <c r="N18" s="952">
        <v>7.0588235294117645</v>
      </c>
      <c r="O18" s="338"/>
      <c r="P18" s="948">
        <v>7.923076923076923</v>
      </c>
      <c r="Q18" s="338"/>
      <c r="R18" s="949">
        <v>7.333333333333333</v>
      </c>
      <c r="S18" s="338"/>
      <c r="T18" s="945">
        <v>8.2</v>
      </c>
      <c r="U18" s="338"/>
      <c r="V18" s="949">
        <v>7.153846153846154</v>
      </c>
      <c r="W18" s="338"/>
      <c r="X18" s="953">
        <v>8.461538461538462</v>
      </c>
      <c r="Y18" s="338"/>
      <c r="Z18" s="948">
        <v>7.909090909090909</v>
      </c>
      <c r="AA18" s="338"/>
      <c r="AB18" s="952">
        <v>6.7272727272727275</v>
      </c>
      <c r="AC18" s="338"/>
      <c r="AD18" s="954">
        <v>6.142857142857143</v>
      </c>
      <c r="AE18" s="338"/>
      <c r="AF18" s="948">
        <v>7.769230769230769</v>
      </c>
      <c r="AG18" s="338"/>
      <c r="AH18" s="952">
        <v>7.0</v>
      </c>
      <c r="AI18" s="338"/>
      <c r="AJ18" s="952">
        <v>6.833333333333333</v>
      </c>
      <c r="AK18" s="338"/>
      <c r="AL18" s="952">
        <v>7.066666666666666</v>
      </c>
      <c r="AM18" s="338"/>
      <c r="AN18" s="948">
        <v>7.533333333333333</v>
      </c>
      <c r="AO18" s="338"/>
      <c r="AP18" s="945">
        <v>8.266666666666667</v>
      </c>
      <c r="AQ18" s="338"/>
      <c r="AR18" s="948">
        <v>8.0</v>
      </c>
      <c r="AS18" s="338"/>
      <c r="AT18" s="952">
        <v>6.615384615384615</v>
      </c>
      <c r="AU18" s="338"/>
      <c r="AV18" s="952">
        <v>6.666666666666667</v>
      </c>
      <c r="AW18" s="338"/>
      <c r="AX18" s="948">
        <v>7.625</v>
      </c>
      <c r="AY18" s="893"/>
      <c r="AZ18" s="893"/>
    </row>
    <row r="19" ht="45.0" customHeight="1">
      <c r="B19" s="913" t="s">
        <v>460</v>
      </c>
      <c r="C19" s="338"/>
      <c r="D19" s="948">
        <v>7.7727272727272725</v>
      </c>
      <c r="E19" s="338"/>
      <c r="F19" s="953">
        <v>8.090909090909092</v>
      </c>
      <c r="G19" s="338"/>
      <c r="H19" s="945">
        <v>8.5</v>
      </c>
      <c r="I19" s="338"/>
      <c r="J19" s="945">
        <v>8.153846153846153</v>
      </c>
      <c r="K19" s="338"/>
      <c r="L19" s="952">
        <v>6.9</v>
      </c>
      <c r="M19" s="338"/>
      <c r="N19" s="948">
        <v>7.529411764705882</v>
      </c>
      <c r="O19" s="338"/>
      <c r="P19" s="948">
        <v>7.769230769230769</v>
      </c>
      <c r="Q19" s="338"/>
      <c r="R19" s="945">
        <v>8.066666666666666</v>
      </c>
      <c r="S19" s="338"/>
      <c r="T19" s="945">
        <v>8.133333333333333</v>
      </c>
      <c r="U19" s="338"/>
      <c r="V19" s="948">
        <v>7.6923076923076925</v>
      </c>
      <c r="W19" s="338"/>
      <c r="X19" s="953">
        <v>8.153846153846153</v>
      </c>
      <c r="Y19" s="338"/>
      <c r="Z19" s="945">
        <v>8.363636363636363</v>
      </c>
      <c r="AA19" s="338"/>
      <c r="AB19" s="948">
        <v>7.7272727272727275</v>
      </c>
      <c r="AC19" s="338"/>
      <c r="AD19" s="947">
        <v>7.714285714285714</v>
      </c>
      <c r="AE19" s="338"/>
      <c r="AF19" s="948">
        <v>8.0</v>
      </c>
      <c r="AG19" s="338"/>
      <c r="AH19" s="948">
        <v>7.714285714285714</v>
      </c>
      <c r="AI19" s="338"/>
      <c r="AJ19" s="949">
        <v>7.333333333333333</v>
      </c>
      <c r="AK19" s="338"/>
      <c r="AL19" s="948">
        <v>7.8</v>
      </c>
      <c r="AM19" s="338"/>
      <c r="AN19" s="945">
        <v>8.266666666666667</v>
      </c>
      <c r="AO19" s="338"/>
      <c r="AP19" s="945">
        <v>8.2</v>
      </c>
      <c r="AQ19" s="338"/>
      <c r="AR19" s="948">
        <v>7.833333333333333</v>
      </c>
      <c r="AS19" s="338"/>
      <c r="AT19" s="949">
        <v>7.461538461538462</v>
      </c>
      <c r="AU19" s="338"/>
      <c r="AV19" s="952">
        <v>7.0</v>
      </c>
      <c r="AW19" s="338"/>
      <c r="AX19" s="948">
        <v>7.6875</v>
      </c>
      <c r="AY19" s="893"/>
      <c r="AZ19" s="893"/>
    </row>
    <row r="20" ht="45.0" customHeight="1">
      <c r="B20" s="913" t="s">
        <v>400</v>
      </c>
      <c r="C20" s="338"/>
      <c r="D20" s="945">
        <v>8.454545454545455</v>
      </c>
      <c r="E20" s="547"/>
      <c r="F20" s="953">
        <v>8.454545454545455</v>
      </c>
      <c r="G20" s="547"/>
      <c r="H20" s="945">
        <v>8.5</v>
      </c>
      <c r="I20" s="547"/>
      <c r="J20" s="948">
        <v>7.769230769230769</v>
      </c>
      <c r="K20" s="547"/>
      <c r="L20" s="952">
        <v>6.8</v>
      </c>
      <c r="M20" s="547"/>
      <c r="N20" s="948">
        <v>7.647058823529412</v>
      </c>
      <c r="O20" s="547"/>
      <c r="P20" s="945">
        <v>8.23076923076923</v>
      </c>
      <c r="Q20" s="547"/>
      <c r="R20" s="945">
        <v>8.066666666666666</v>
      </c>
      <c r="S20" s="547"/>
      <c r="T20" s="945">
        <v>8.4</v>
      </c>
      <c r="U20" s="547"/>
      <c r="V20" s="945">
        <v>8.153846153846153</v>
      </c>
      <c r="W20" s="547"/>
      <c r="X20" s="957">
        <v>8.692307692307692</v>
      </c>
      <c r="Y20" s="338"/>
      <c r="Z20" s="945">
        <v>8.090909090909092</v>
      </c>
      <c r="AA20" s="547"/>
      <c r="AB20" s="948">
        <v>7.7272727272727275</v>
      </c>
      <c r="AC20" s="547"/>
      <c r="AD20" s="955">
        <v>7.285714285714286</v>
      </c>
      <c r="AE20" s="547"/>
      <c r="AF20" s="948">
        <v>8.0</v>
      </c>
      <c r="AG20" s="547"/>
      <c r="AH20" s="948">
        <v>7.785714285714286</v>
      </c>
      <c r="AI20" s="547"/>
      <c r="AJ20" s="949">
        <v>7.333333333333333</v>
      </c>
      <c r="AK20" s="547"/>
      <c r="AL20" s="948">
        <v>8.0</v>
      </c>
      <c r="AM20" s="547"/>
      <c r="AN20" s="945">
        <v>8.2</v>
      </c>
      <c r="AO20" s="547"/>
      <c r="AP20" s="945">
        <v>8.133333333333333</v>
      </c>
      <c r="AQ20" s="547"/>
      <c r="AR20" s="945">
        <v>8.166666666666666</v>
      </c>
      <c r="AS20" s="547"/>
      <c r="AT20" s="949">
        <v>7.230769230769231</v>
      </c>
      <c r="AU20" s="547"/>
      <c r="AV20" s="949">
        <v>7.4</v>
      </c>
      <c r="AW20" s="547"/>
      <c r="AX20" s="948">
        <v>8.0</v>
      </c>
      <c r="AY20" s="893"/>
      <c r="AZ20" s="893"/>
    </row>
    <row r="21" ht="45.0" customHeight="1">
      <c r="A21" s="914" t="s">
        <v>49</v>
      </c>
      <c r="B21" s="915" t="s">
        <v>401</v>
      </c>
      <c r="C21" s="946">
        <f>AVERAGE(D21:D24)</f>
        <v>7.727272727</v>
      </c>
      <c r="D21" s="948">
        <v>7.545454545454546</v>
      </c>
      <c r="E21" s="946">
        <f>AVERAGE(F21:F24)</f>
        <v>7.863636364</v>
      </c>
      <c r="F21" s="947">
        <v>7.7727272727272725</v>
      </c>
      <c r="G21" s="946">
        <f>AVERAGE(H21:H24)</f>
        <v>7.517857143</v>
      </c>
      <c r="H21" s="948">
        <v>7.857142857142857</v>
      </c>
      <c r="I21" s="960">
        <f>AVERAGE(J21:J24)</f>
        <v>8.980769231</v>
      </c>
      <c r="J21" s="956">
        <v>9.0</v>
      </c>
      <c r="K21" s="950">
        <f>AVERAGE(L21:L24)</f>
        <v>6.675</v>
      </c>
      <c r="L21" s="952">
        <v>6.6</v>
      </c>
      <c r="M21" s="944">
        <f>AVERAGE(N21:N24)</f>
        <v>8.029411765</v>
      </c>
      <c r="N21" s="945">
        <v>8.058823529411764</v>
      </c>
      <c r="O21" s="960">
        <f>AVERAGE(P21:P24)</f>
        <v>8.634615385</v>
      </c>
      <c r="P21" s="956">
        <v>9.384615384615385</v>
      </c>
      <c r="Q21" s="946">
        <f>AVERAGE(R21:R24)</f>
        <v>7.516666667</v>
      </c>
      <c r="R21" s="948">
        <v>7.6</v>
      </c>
      <c r="S21" s="946">
        <f>AVERAGE(T21:T24)</f>
        <v>7.583333333</v>
      </c>
      <c r="T21" s="948">
        <v>7.6</v>
      </c>
      <c r="U21" s="960">
        <f>AVERAGE(V21:V24)</f>
        <v>8.711538462</v>
      </c>
      <c r="V21" s="956">
        <v>9.0</v>
      </c>
      <c r="W21" s="944">
        <f>AVERAGE(X21:X24)</f>
        <v>8.269230769</v>
      </c>
      <c r="X21" s="953">
        <v>8.461538461538462</v>
      </c>
      <c r="Y21" s="960">
        <f>AVERAGE(Z21:Z24)</f>
        <v>8.795454545</v>
      </c>
      <c r="Z21" s="956">
        <v>9.090909090909092</v>
      </c>
      <c r="AA21" s="946">
        <f>AVERAGE(AB21:AB24)</f>
        <v>7.909090909</v>
      </c>
      <c r="AB21" s="948">
        <v>8.0</v>
      </c>
      <c r="AC21" s="858">
        <f>AVERAGE(AD21:AD24)</f>
        <v>6.178571429</v>
      </c>
      <c r="AD21" s="954">
        <v>6.142857142857143</v>
      </c>
      <c r="AE21" s="944">
        <f>AVERAGE(AF21:AF24)</f>
        <v>8.326923077</v>
      </c>
      <c r="AF21" s="945">
        <v>8.307692307692308</v>
      </c>
      <c r="AG21" s="944">
        <f>AVERAGE(AH21:AH24)</f>
        <v>8.303571429</v>
      </c>
      <c r="AH21" s="945">
        <v>8.285714285714286</v>
      </c>
      <c r="AI21" s="946">
        <f>AVERAGE(AJ21:AJ24)</f>
        <v>7.666666667</v>
      </c>
      <c r="AJ21" s="948">
        <v>7.583333333333333</v>
      </c>
      <c r="AK21" s="946">
        <f>AVERAGE(AL21:AL24)</f>
        <v>7.583333333</v>
      </c>
      <c r="AL21" s="949">
        <v>7.333333333333333</v>
      </c>
      <c r="AM21" s="767">
        <f>AVERAGE(AN21:AN24)</f>
        <v>7.233333333</v>
      </c>
      <c r="AN21" s="952">
        <v>6.8</v>
      </c>
      <c r="AO21" s="961">
        <f>AVERAGE(AP21:AP24)</f>
        <v>8.8</v>
      </c>
      <c r="AP21" s="959">
        <v>9.133333333333333</v>
      </c>
      <c r="AQ21" s="944">
        <f>AVERAGE(AR21:AR24)</f>
        <v>8.458333333</v>
      </c>
      <c r="AR21" s="945">
        <v>8.416666666666666</v>
      </c>
      <c r="AS21" s="944">
        <f>AVERAGE(AT21:AT24)</f>
        <v>8.346153846</v>
      </c>
      <c r="AT21" s="945">
        <v>8.23076923076923</v>
      </c>
      <c r="AU21" s="946">
        <f>AVERAGE(AV21:AV24)</f>
        <v>7.916666667</v>
      </c>
      <c r="AV21" s="948">
        <v>7.733333333333333</v>
      </c>
      <c r="AW21" s="946">
        <f>AVERAGE(AX21:AX24)</f>
        <v>7.515625</v>
      </c>
      <c r="AX21" s="949">
        <v>7.1875</v>
      </c>
      <c r="AY21" s="893"/>
      <c r="AZ21" s="893"/>
    </row>
    <row r="22" ht="45.0" customHeight="1">
      <c r="B22" s="915" t="s">
        <v>208</v>
      </c>
      <c r="C22" s="338"/>
      <c r="D22" s="948">
        <v>7.818181818181818</v>
      </c>
      <c r="E22" s="338"/>
      <c r="F22" s="947">
        <v>7.818181818181818</v>
      </c>
      <c r="G22" s="338"/>
      <c r="H22" s="948">
        <v>7.857142857142857</v>
      </c>
      <c r="I22" s="338"/>
      <c r="J22" s="945">
        <v>8.461538461538462</v>
      </c>
      <c r="K22" s="338"/>
      <c r="L22" s="945">
        <v>8.1</v>
      </c>
      <c r="M22" s="338"/>
      <c r="N22" s="945">
        <v>8.411764705882353</v>
      </c>
      <c r="O22" s="338"/>
      <c r="P22" s="952">
        <v>6.615384615384615</v>
      </c>
      <c r="Q22" s="338"/>
      <c r="R22" s="956">
        <v>8.8</v>
      </c>
      <c r="S22" s="338"/>
      <c r="T22" s="945">
        <v>8.333333333333334</v>
      </c>
      <c r="U22" s="338"/>
      <c r="V22" s="945">
        <v>8.461538461538462</v>
      </c>
      <c r="W22" s="338"/>
      <c r="X22" s="953">
        <v>8.461538461538462</v>
      </c>
      <c r="Y22" s="338"/>
      <c r="Z22" s="945">
        <v>8.363636363636363</v>
      </c>
      <c r="AA22" s="338"/>
      <c r="AB22" s="945">
        <v>8.363636363636363</v>
      </c>
      <c r="AC22" s="338"/>
      <c r="AD22" s="947">
        <v>8.0</v>
      </c>
      <c r="AE22" s="338"/>
      <c r="AF22" s="945">
        <v>8.076923076923077</v>
      </c>
      <c r="AG22" s="338"/>
      <c r="AH22" s="945">
        <v>8.285714285714286</v>
      </c>
      <c r="AI22" s="338"/>
      <c r="AJ22" s="945">
        <v>8.416666666666666</v>
      </c>
      <c r="AK22" s="338"/>
      <c r="AL22" s="945">
        <v>8.466666666666667</v>
      </c>
      <c r="AM22" s="338"/>
      <c r="AN22" s="945">
        <v>8.466666666666667</v>
      </c>
      <c r="AO22" s="338"/>
      <c r="AP22" s="945">
        <v>8.2</v>
      </c>
      <c r="AQ22" s="338"/>
      <c r="AR22" s="945">
        <v>8.416666666666666</v>
      </c>
      <c r="AS22" s="338"/>
      <c r="AT22" s="945">
        <v>8.384615384615385</v>
      </c>
      <c r="AU22" s="338"/>
      <c r="AV22" s="945">
        <v>8.466666666666667</v>
      </c>
      <c r="AW22" s="338"/>
      <c r="AX22" s="948">
        <v>7.75</v>
      </c>
      <c r="AY22" s="893"/>
      <c r="AZ22" s="893"/>
    </row>
    <row r="23" ht="45.0" customHeight="1">
      <c r="B23" s="915" t="s">
        <v>340</v>
      </c>
      <c r="C23" s="338"/>
      <c r="D23" s="948">
        <v>7.818181818181818</v>
      </c>
      <c r="E23" s="338"/>
      <c r="F23" s="947">
        <v>7.7727272727272725</v>
      </c>
      <c r="G23" s="338"/>
      <c r="H23" s="952">
        <v>6.928571428571429</v>
      </c>
      <c r="I23" s="338"/>
      <c r="J23" s="956">
        <v>9.307692307692308</v>
      </c>
      <c r="K23" s="338"/>
      <c r="L23" s="951">
        <v>6.2</v>
      </c>
      <c r="M23" s="338"/>
      <c r="N23" s="949">
        <v>7.411764705882353</v>
      </c>
      <c r="O23" s="338"/>
      <c r="P23" s="956">
        <v>9.23076923076923</v>
      </c>
      <c r="Q23" s="338"/>
      <c r="R23" s="952">
        <v>6.8</v>
      </c>
      <c r="S23" s="338"/>
      <c r="T23" s="952">
        <v>7.066666666666666</v>
      </c>
      <c r="U23" s="338"/>
      <c r="V23" s="956">
        <v>8.615384615384615</v>
      </c>
      <c r="W23" s="338"/>
      <c r="X23" s="947">
        <v>7.923076923076923</v>
      </c>
      <c r="Y23" s="338"/>
      <c r="Z23" s="956">
        <v>9.090909090909092</v>
      </c>
      <c r="AA23" s="338"/>
      <c r="AB23" s="949">
        <v>7.454545454545454</v>
      </c>
      <c r="AC23" s="338"/>
      <c r="AD23" s="954">
        <v>5.285714285714286</v>
      </c>
      <c r="AE23" s="338"/>
      <c r="AF23" s="945">
        <v>8.307692307692308</v>
      </c>
      <c r="AG23" s="338"/>
      <c r="AH23" s="945">
        <v>8.214285714285714</v>
      </c>
      <c r="AI23" s="338"/>
      <c r="AJ23" s="949">
        <v>7.333333333333333</v>
      </c>
      <c r="AK23" s="338"/>
      <c r="AL23" s="952">
        <v>6.933333333333334</v>
      </c>
      <c r="AM23" s="338"/>
      <c r="AN23" s="952">
        <v>6.533333333333333</v>
      </c>
      <c r="AO23" s="338"/>
      <c r="AP23" s="959">
        <v>8.933333333333334</v>
      </c>
      <c r="AQ23" s="338"/>
      <c r="AR23" s="945">
        <v>8.25</v>
      </c>
      <c r="AS23" s="338"/>
      <c r="AT23" s="945">
        <v>8.23076923076923</v>
      </c>
      <c r="AU23" s="338"/>
      <c r="AV23" s="949">
        <v>7.266666666666667</v>
      </c>
      <c r="AW23" s="338"/>
      <c r="AX23" s="949">
        <v>7.3125</v>
      </c>
      <c r="AY23" s="893"/>
      <c r="AZ23" s="893"/>
    </row>
    <row r="24" ht="45.0" customHeight="1">
      <c r="B24" s="915" t="s">
        <v>341</v>
      </c>
      <c r="C24" s="338"/>
      <c r="D24" s="948">
        <v>7.7272727272727275</v>
      </c>
      <c r="E24" s="547"/>
      <c r="F24" s="953">
        <v>8.090909090909092</v>
      </c>
      <c r="G24" s="547"/>
      <c r="H24" s="949">
        <v>7.428571428571429</v>
      </c>
      <c r="I24" s="547"/>
      <c r="J24" s="956">
        <v>9.153846153846153</v>
      </c>
      <c r="K24" s="547"/>
      <c r="L24" s="951">
        <v>5.8</v>
      </c>
      <c r="M24" s="547"/>
      <c r="N24" s="945">
        <v>8.235294117647058</v>
      </c>
      <c r="O24" s="547"/>
      <c r="P24" s="956">
        <v>9.307692307692308</v>
      </c>
      <c r="Q24" s="547"/>
      <c r="R24" s="952">
        <v>6.866666666666666</v>
      </c>
      <c r="S24" s="547"/>
      <c r="T24" s="949">
        <v>7.333333333333333</v>
      </c>
      <c r="U24" s="547"/>
      <c r="V24" s="956">
        <v>8.76923076923077</v>
      </c>
      <c r="W24" s="547"/>
      <c r="X24" s="953">
        <v>8.23076923076923</v>
      </c>
      <c r="Y24" s="338"/>
      <c r="Z24" s="956">
        <v>8.636363636363637</v>
      </c>
      <c r="AA24" s="547"/>
      <c r="AB24" s="948">
        <v>7.818181818181818</v>
      </c>
      <c r="AC24" s="547"/>
      <c r="AD24" s="954">
        <v>5.285714285714286</v>
      </c>
      <c r="AE24" s="547"/>
      <c r="AF24" s="959">
        <v>8.615384615384615</v>
      </c>
      <c r="AG24" s="547"/>
      <c r="AH24" s="945">
        <v>8.428571428571429</v>
      </c>
      <c r="AI24" s="547"/>
      <c r="AJ24" s="949">
        <v>7.333333333333333</v>
      </c>
      <c r="AK24" s="547"/>
      <c r="AL24" s="948">
        <v>7.6</v>
      </c>
      <c r="AM24" s="547"/>
      <c r="AN24" s="949">
        <v>7.133333333333334</v>
      </c>
      <c r="AO24" s="547"/>
      <c r="AP24" s="959">
        <v>8.933333333333334</v>
      </c>
      <c r="AQ24" s="547"/>
      <c r="AR24" s="959">
        <v>8.75</v>
      </c>
      <c r="AS24" s="547"/>
      <c r="AT24" s="959">
        <v>8.538461538461538</v>
      </c>
      <c r="AU24" s="547"/>
      <c r="AV24" s="945">
        <v>8.2</v>
      </c>
      <c r="AW24" s="547"/>
      <c r="AX24" s="948">
        <v>7.8125</v>
      </c>
      <c r="AY24" s="893"/>
      <c r="AZ24" s="893"/>
    </row>
    <row r="25" ht="45.0" customHeight="1">
      <c r="A25" s="855" t="s">
        <v>54</v>
      </c>
      <c r="B25" s="918" t="s">
        <v>402</v>
      </c>
      <c r="C25" s="946">
        <f>AVERAGE(D25:D29)</f>
        <v>7.726406926</v>
      </c>
      <c r="D25" s="948">
        <v>7.7272727272727275</v>
      </c>
      <c r="E25" s="946">
        <f>AVERAGE(F25:F29)</f>
        <v>7.896536797</v>
      </c>
      <c r="F25" s="947">
        <v>7.863636363636363</v>
      </c>
      <c r="G25" s="944">
        <f>AVERAGE(H25:H29)</f>
        <v>8.014285714</v>
      </c>
      <c r="H25" s="948">
        <v>7.642857142857143</v>
      </c>
      <c r="I25" s="946">
        <f>AVERAGE(J25:J29)</f>
        <v>7.769230769</v>
      </c>
      <c r="J25" s="949">
        <v>7.153846153846154</v>
      </c>
      <c r="K25" s="767">
        <f>AVERAGE(L25:L29)</f>
        <v>7.48</v>
      </c>
      <c r="L25" s="949">
        <v>7.5</v>
      </c>
      <c r="M25" s="946">
        <f>AVERAGE(N25:N29)</f>
        <v>7.623529412</v>
      </c>
      <c r="N25" s="949">
        <v>7.117647058823529</v>
      </c>
      <c r="O25" s="946">
        <f>AVERAGE(P25:P29)</f>
        <v>7.8</v>
      </c>
      <c r="P25" s="949">
        <v>7.461538461538462</v>
      </c>
      <c r="Q25" s="944">
        <f>AVERAGE(R25:R29)</f>
        <v>8.413333333</v>
      </c>
      <c r="R25" s="945">
        <v>8.333333333333334</v>
      </c>
      <c r="S25" s="944">
        <f>AVERAGE(T25:T29)</f>
        <v>8.173333333</v>
      </c>
      <c r="T25" s="945">
        <v>8.066666666666666</v>
      </c>
      <c r="U25" s="944">
        <f>AVERAGE(V25:V29)</f>
        <v>8.123076923</v>
      </c>
      <c r="V25" s="948">
        <v>7.846153846153846</v>
      </c>
      <c r="W25" s="944">
        <f>AVERAGE(X25:X29)</f>
        <v>8.16025641</v>
      </c>
      <c r="X25" s="953">
        <v>8.384615384615385</v>
      </c>
      <c r="Y25" s="944">
        <f>AVERAGE(Z25:Z29)</f>
        <v>8.252727273</v>
      </c>
      <c r="Z25" s="945">
        <v>8.363636363636363</v>
      </c>
      <c r="AA25" s="946">
        <f>AVERAGE(AB25:AB29)</f>
        <v>7.750909091</v>
      </c>
      <c r="AB25" s="949">
        <v>7.454545454545454</v>
      </c>
      <c r="AC25" s="946">
        <f>AVERAGE(AD25:AD29)</f>
        <v>7.614285714</v>
      </c>
      <c r="AD25" s="958">
        <v>6.571428571428571</v>
      </c>
      <c r="AE25" s="944">
        <f>AVERAGE(AF25:AF29)</f>
        <v>8.030769231</v>
      </c>
      <c r="AF25" s="948">
        <v>8.0</v>
      </c>
      <c r="AG25" s="946">
        <f>AVERAGE(AH25:AH29)</f>
        <v>7.585714286</v>
      </c>
      <c r="AH25" s="949">
        <v>7.428571428571429</v>
      </c>
      <c r="AI25" s="767">
        <f>AVERAGE(AJ25:AJ29)</f>
        <v>7.183333333</v>
      </c>
      <c r="AJ25" s="952">
        <v>6.833333333333333</v>
      </c>
      <c r="AK25" s="944">
        <f>AVERAGE(AL25:AL29)</f>
        <v>8.08</v>
      </c>
      <c r="AL25" s="948">
        <v>7.733333333333333</v>
      </c>
      <c r="AM25" s="946">
        <f>AVERAGE(AN25:AN29)</f>
        <v>7.946666667</v>
      </c>
      <c r="AN25" s="948">
        <v>7.8</v>
      </c>
      <c r="AO25" s="944">
        <f>AVERAGE(AP25:AP29)</f>
        <v>8.133333333</v>
      </c>
      <c r="AP25" s="945">
        <v>8.133333333333333</v>
      </c>
      <c r="AQ25" s="944">
        <f>AVERAGE(AR25:AR29)</f>
        <v>8.166666667</v>
      </c>
      <c r="AR25" s="945">
        <v>8.25</v>
      </c>
      <c r="AS25" s="767">
        <f>AVERAGE(AT25:AT29)</f>
        <v>7.476923077</v>
      </c>
      <c r="AT25" s="949">
        <v>7.230769230769231</v>
      </c>
      <c r="AU25" s="946">
        <f>AVERAGE(AV25:AV29)</f>
        <v>7.573333333</v>
      </c>
      <c r="AV25" s="949">
        <v>7.266666666666667</v>
      </c>
      <c r="AW25" s="946">
        <f>AVERAGE(AX25:AX29)</f>
        <v>7.685</v>
      </c>
      <c r="AX25" s="948">
        <v>7.625</v>
      </c>
      <c r="AY25" s="893"/>
      <c r="AZ25" s="893"/>
    </row>
    <row r="26" ht="45.0" customHeight="1">
      <c r="B26" s="918" t="s">
        <v>240</v>
      </c>
      <c r="C26" s="338"/>
      <c r="D26" s="949">
        <v>7.380952380952381</v>
      </c>
      <c r="E26" s="338"/>
      <c r="F26" s="947">
        <v>7.857142857142857</v>
      </c>
      <c r="G26" s="338"/>
      <c r="H26" s="948">
        <v>7.928571428571429</v>
      </c>
      <c r="I26" s="338"/>
      <c r="J26" s="949">
        <v>7.3076923076923075</v>
      </c>
      <c r="K26" s="338"/>
      <c r="L26" s="952">
        <v>7.0</v>
      </c>
      <c r="M26" s="338"/>
      <c r="N26" s="952">
        <v>6.882352941176471</v>
      </c>
      <c r="O26" s="338"/>
      <c r="P26" s="948">
        <v>7.6923076923076925</v>
      </c>
      <c r="Q26" s="338"/>
      <c r="R26" s="945">
        <v>8.133333333333333</v>
      </c>
      <c r="S26" s="338"/>
      <c r="T26" s="945">
        <v>8.4</v>
      </c>
      <c r="U26" s="338"/>
      <c r="V26" s="948">
        <v>7.769230769230769</v>
      </c>
      <c r="W26" s="338"/>
      <c r="X26" s="953">
        <v>8.25</v>
      </c>
      <c r="Y26" s="338"/>
      <c r="Z26" s="948">
        <v>7.9</v>
      </c>
      <c r="AA26" s="338"/>
      <c r="AB26" s="949">
        <v>7.2</v>
      </c>
      <c r="AC26" s="338"/>
      <c r="AD26" s="955">
        <v>7.166666666666667</v>
      </c>
      <c r="AE26" s="338"/>
      <c r="AF26" s="945">
        <v>8.384615384615385</v>
      </c>
      <c r="AG26" s="338"/>
      <c r="AH26" s="949">
        <v>7.214285714285714</v>
      </c>
      <c r="AI26" s="338"/>
      <c r="AJ26" s="951">
        <v>6.416666666666667</v>
      </c>
      <c r="AK26" s="338"/>
      <c r="AL26" s="948">
        <v>7.666666666666667</v>
      </c>
      <c r="AM26" s="338"/>
      <c r="AN26" s="948">
        <v>7.8</v>
      </c>
      <c r="AO26" s="338"/>
      <c r="AP26" s="945">
        <v>8.2</v>
      </c>
      <c r="AQ26" s="338"/>
      <c r="AR26" s="945">
        <v>8.083333333333334</v>
      </c>
      <c r="AS26" s="338"/>
      <c r="AT26" s="952">
        <v>6.846153846153846</v>
      </c>
      <c r="AU26" s="338"/>
      <c r="AV26" s="952">
        <v>7.0</v>
      </c>
      <c r="AW26" s="338"/>
      <c r="AX26" s="948">
        <v>7.933333333333334</v>
      </c>
      <c r="AY26" s="893"/>
      <c r="AZ26" s="893"/>
    </row>
    <row r="27" ht="45.0" customHeight="1">
      <c r="B27" s="918" t="s">
        <v>403</v>
      </c>
      <c r="C27" s="338"/>
      <c r="D27" s="948">
        <v>7.619047619047619</v>
      </c>
      <c r="E27" s="338"/>
      <c r="F27" s="955">
        <v>7.476190476190476</v>
      </c>
      <c r="G27" s="338"/>
      <c r="H27" s="949">
        <v>7.5</v>
      </c>
      <c r="I27" s="338"/>
      <c r="J27" s="945">
        <v>8.153846153846153</v>
      </c>
      <c r="K27" s="338"/>
      <c r="L27" s="948">
        <v>7.8</v>
      </c>
      <c r="M27" s="338"/>
      <c r="N27" s="945">
        <v>8.352941176470589</v>
      </c>
      <c r="O27" s="338"/>
      <c r="P27" s="948">
        <v>7.538461538461538</v>
      </c>
      <c r="Q27" s="338"/>
      <c r="R27" s="945">
        <v>8.4</v>
      </c>
      <c r="S27" s="338"/>
      <c r="T27" s="948">
        <v>7.8</v>
      </c>
      <c r="U27" s="338"/>
      <c r="V27" s="956">
        <v>8.538461538461538</v>
      </c>
      <c r="W27" s="338"/>
      <c r="X27" s="953">
        <v>8.083333333333334</v>
      </c>
      <c r="Y27" s="338"/>
      <c r="Z27" s="948">
        <v>8.0</v>
      </c>
      <c r="AA27" s="338"/>
      <c r="AB27" s="945">
        <v>8.3</v>
      </c>
      <c r="AC27" s="338"/>
      <c r="AD27" s="953">
        <v>8.166666666666666</v>
      </c>
      <c r="AE27" s="338"/>
      <c r="AF27" s="949">
        <v>7.461538461538462</v>
      </c>
      <c r="AG27" s="338"/>
      <c r="AH27" s="948">
        <v>8.0</v>
      </c>
      <c r="AI27" s="338"/>
      <c r="AJ27" s="948">
        <v>7.75</v>
      </c>
      <c r="AK27" s="338"/>
      <c r="AL27" s="945">
        <v>8.2</v>
      </c>
      <c r="AM27" s="338"/>
      <c r="AN27" s="948">
        <v>8.0</v>
      </c>
      <c r="AO27" s="338"/>
      <c r="AP27" s="945">
        <v>8.066666666666666</v>
      </c>
      <c r="AQ27" s="338"/>
      <c r="AR27" s="945">
        <v>8.166666666666666</v>
      </c>
      <c r="AS27" s="338"/>
      <c r="AT27" s="948">
        <v>8.0</v>
      </c>
      <c r="AU27" s="338"/>
      <c r="AV27" s="945">
        <v>8.133333333333333</v>
      </c>
      <c r="AW27" s="338"/>
      <c r="AX27" s="949">
        <v>7.266666666666667</v>
      </c>
      <c r="AY27" s="893"/>
      <c r="AZ27" s="893"/>
    </row>
    <row r="28" ht="45.0" customHeight="1">
      <c r="B28" s="809" t="s">
        <v>461</v>
      </c>
      <c r="C28" s="338"/>
      <c r="D28" s="945">
        <v>8.19047619047619</v>
      </c>
      <c r="E28" s="338"/>
      <c r="F28" s="953">
        <v>8.380952380952381</v>
      </c>
      <c r="G28" s="338"/>
      <c r="H28" s="956">
        <v>8.785714285714286</v>
      </c>
      <c r="I28" s="338"/>
      <c r="J28" s="948">
        <v>7.769230769230769</v>
      </c>
      <c r="K28" s="338"/>
      <c r="L28" s="952">
        <v>7.0</v>
      </c>
      <c r="M28" s="338"/>
      <c r="N28" s="949">
        <v>7.411764705882353</v>
      </c>
      <c r="O28" s="338"/>
      <c r="P28" s="948">
        <v>8.0</v>
      </c>
      <c r="Q28" s="338"/>
      <c r="R28" s="956">
        <v>8.6</v>
      </c>
      <c r="S28" s="338"/>
      <c r="T28" s="945">
        <v>8.466666666666667</v>
      </c>
      <c r="U28" s="338"/>
      <c r="V28" s="948">
        <v>7.6923076923076925</v>
      </c>
      <c r="W28" s="338"/>
      <c r="X28" s="947">
        <v>8.0</v>
      </c>
      <c r="Y28" s="338"/>
      <c r="Z28" s="945">
        <v>8.5</v>
      </c>
      <c r="AA28" s="338"/>
      <c r="AB28" s="949">
        <v>7.3</v>
      </c>
      <c r="AC28" s="338"/>
      <c r="AD28" s="947">
        <v>7.666666666666667</v>
      </c>
      <c r="AE28" s="338"/>
      <c r="AF28" s="945">
        <v>8.384615384615385</v>
      </c>
      <c r="AG28" s="338"/>
      <c r="AH28" s="949">
        <v>7.357142857142857</v>
      </c>
      <c r="AI28" s="338"/>
      <c r="AJ28" s="952">
        <v>7.0</v>
      </c>
      <c r="AK28" s="338"/>
      <c r="AL28" s="959">
        <v>8.666666666666666</v>
      </c>
      <c r="AM28" s="338"/>
      <c r="AN28" s="945">
        <v>8.333333333333334</v>
      </c>
      <c r="AO28" s="338"/>
      <c r="AP28" s="945">
        <v>8.066666666666666</v>
      </c>
      <c r="AQ28" s="338"/>
      <c r="AR28" s="948">
        <v>8.0</v>
      </c>
      <c r="AS28" s="338"/>
      <c r="AT28" s="949">
        <v>7.3076923076923075</v>
      </c>
      <c r="AU28" s="338"/>
      <c r="AV28" s="948">
        <v>7.6</v>
      </c>
      <c r="AW28" s="338"/>
      <c r="AX28" s="945">
        <v>8.133333333333333</v>
      </c>
      <c r="AY28" s="893"/>
      <c r="AZ28" s="893"/>
    </row>
    <row r="29" ht="45.0" customHeight="1">
      <c r="B29" s="918" t="s">
        <v>282</v>
      </c>
      <c r="C29" s="547"/>
      <c r="D29" s="948">
        <v>7.714285714285714</v>
      </c>
      <c r="E29" s="547"/>
      <c r="F29" s="947">
        <v>7.904761904761905</v>
      </c>
      <c r="G29" s="547"/>
      <c r="H29" s="945">
        <v>8.214285714285714</v>
      </c>
      <c r="I29" s="547"/>
      <c r="J29" s="945">
        <v>8.461538461538462</v>
      </c>
      <c r="K29" s="547"/>
      <c r="L29" s="945">
        <v>8.1</v>
      </c>
      <c r="M29" s="547"/>
      <c r="N29" s="945">
        <v>8.352941176470589</v>
      </c>
      <c r="O29" s="547"/>
      <c r="P29" s="945">
        <v>8.307692307692308</v>
      </c>
      <c r="Q29" s="547"/>
      <c r="R29" s="956">
        <v>8.6</v>
      </c>
      <c r="S29" s="547"/>
      <c r="T29" s="945">
        <v>8.133333333333333</v>
      </c>
      <c r="U29" s="547"/>
      <c r="V29" s="956">
        <v>8.76923076923077</v>
      </c>
      <c r="W29" s="547"/>
      <c r="X29" s="953">
        <v>8.083333333333334</v>
      </c>
      <c r="Y29" s="338"/>
      <c r="Z29" s="945">
        <v>8.5</v>
      </c>
      <c r="AA29" s="547"/>
      <c r="AB29" s="945">
        <v>8.5</v>
      </c>
      <c r="AC29" s="547"/>
      <c r="AD29" s="953">
        <v>8.5</v>
      </c>
      <c r="AE29" s="547"/>
      <c r="AF29" s="948">
        <v>7.923076923076923</v>
      </c>
      <c r="AG29" s="547"/>
      <c r="AH29" s="948">
        <v>7.928571428571429</v>
      </c>
      <c r="AI29" s="547"/>
      <c r="AJ29" s="948">
        <v>7.916666666666667</v>
      </c>
      <c r="AK29" s="547"/>
      <c r="AL29" s="945">
        <v>8.133333333333333</v>
      </c>
      <c r="AM29" s="547"/>
      <c r="AN29" s="948">
        <v>7.8</v>
      </c>
      <c r="AO29" s="547"/>
      <c r="AP29" s="945">
        <v>8.2</v>
      </c>
      <c r="AQ29" s="547"/>
      <c r="AR29" s="945">
        <v>8.333333333333334</v>
      </c>
      <c r="AS29" s="547"/>
      <c r="AT29" s="948">
        <v>8.0</v>
      </c>
      <c r="AU29" s="547"/>
      <c r="AV29" s="948">
        <v>7.866666666666666</v>
      </c>
      <c r="AW29" s="547"/>
      <c r="AX29" s="949">
        <v>7.466666666666667</v>
      </c>
      <c r="AY29" s="893"/>
      <c r="AZ29" s="893"/>
    </row>
    <row r="30" ht="45.0" customHeight="1">
      <c r="A30" s="920" t="s">
        <v>60</v>
      </c>
      <c r="B30" s="962" t="s">
        <v>242</v>
      </c>
      <c r="C30" s="946">
        <f>AVERAGE(D30:D33)</f>
        <v>7.80952381</v>
      </c>
      <c r="D30" s="949">
        <v>7.285714285714286</v>
      </c>
      <c r="E30" s="946">
        <f>AVERAGE(F30:F33)</f>
        <v>7.80952381</v>
      </c>
      <c r="F30" s="955">
        <v>7.142857142857143</v>
      </c>
      <c r="G30" s="946">
        <f>AVERAGE(H30:H33)</f>
        <v>7.946428571</v>
      </c>
      <c r="H30" s="945">
        <v>8.142857142857142</v>
      </c>
      <c r="I30" s="767">
        <f>AVERAGE(J30:J33)</f>
        <v>7.423076923</v>
      </c>
      <c r="J30" s="952">
        <v>6.615384615384615</v>
      </c>
      <c r="K30" s="950">
        <f>AVERAGE(L30:L33)</f>
        <v>7.025</v>
      </c>
      <c r="L30" s="951">
        <v>6.3</v>
      </c>
      <c r="M30" s="946">
        <f>AVERAGE(N30:N33)</f>
        <v>7.544117647</v>
      </c>
      <c r="N30" s="949">
        <v>7.294117647058823</v>
      </c>
      <c r="O30" s="944">
        <f>AVERAGE(P30:P33)</f>
        <v>8.134615385</v>
      </c>
      <c r="P30" s="945">
        <v>8.076923076923077</v>
      </c>
      <c r="Q30" s="946">
        <f>AVERAGE(R30:R33)</f>
        <v>8</v>
      </c>
      <c r="R30" s="945">
        <v>8.066666666666666</v>
      </c>
      <c r="S30" s="944">
        <f>AVERAGE(T30:T33)</f>
        <v>8.083333333</v>
      </c>
      <c r="T30" s="945">
        <v>8.066666666666666</v>
      </c>
      <c r="U30" s="946">
        <f>AVERAGE(V30:V33)</f>
        <v>7.903846154</v>
      </c>
      <c r="V30" s="948">
        <v>7.615384615384615</v>
      </c>
      <c r="W30" s="944">
        <f>AVERAGE(X30:X33)</f>
        <v>8.395833333</v>
      </c>
      <c r="X30" s="947">
        <v>7.833333333333333</v>
      </c>
      <c r="Y30" s="944">
        <f>AVERAGE(Z30:Z33)</f>
        <v>8.2</v>
      </c>
      <c r="Z30" s="948">
        <v>7.7</v>
      </c>
      <c r="AA30" s="767">
        <f>AVERAGE(AB30:AB33)</f>
        <v>7.325</v>
      </c>
      <c r="AB30" s="952">
        <v>6.7</v>
      </c>
      <c r="AC30" s="767">
        <f>AVERAGE(AD30:AD33)</f>
        <v>7.041666667</v>
      </c>
      <c r="AD30" s="954">
        <v>5.666666666666667</v>
      </c>
      <c r="AE30" s="946">
        <f>AVERAGE(AF30:AF33)</f>
        <v>7.884615385</v>
      </c>
      <c r="AF30" s="948">
        <v>7.769230769230769</v>
      </c>
      <c r="AG30" s="767">
        <f>AVERAGE(AH30:AH33)</f>
        <v>7.303571429</v>
      </c>
      <c r="AH30" s="952">
        <v>6.785714285714286</v>
      </c>
      <c r="AI30" s="767">
        <f>AVERAGE(AJ30:AJ33)</f>
        <v>7.145833333</v>
      </c>
      <c r="AJ30" s="952">
        <v>6.833333333333333</v>
      </c>
      <c r="AK30" s="946">
        <f>AVERAGE(AL30:AL33)</f>
        <v>7.633333333</v>
      </c>
      <c r="AL30" s="948">
        <v>7.8</v>
      </c>
      <c r="AM30" s="946">
        <f>AVERAGE(AN30:AN33)</f>
        <v>7.533333333</v>
      </c>
      <c r="AN30" s="949">
        <v>7.333333333333333</v>
      </c>
      <c r="AO30" s="944">
        <f>AVERAGE(AP30:AP33)</f>
        <v>8.1</v>
      </c>
      <c r="AP30" s="948">
        <v>8.0</v>
      </c>
      <c r="AQ30" s="944">
        <f>AVERAGE(AR30:AR33)</f>
        <v>8.166666667</v>
      </c>
      <c r="AR30" s="945">
        <v>8.083333333333334</v>
      </c>
      <c r="AS30" s="767">
        <f>AVERAGE(AT30:AT33)</f>
        <v>7.365384615</v>
      </c>
      <c r="AT30" s="949">
        <v>7.384615384615385</v>
      </c>
      <c r="AU30" s="767">
        <f>AVERAGE(AV30:AV33)</f>
        <v>7.5</v>
      </c>
      <c r="AV30" s="949">
        <v>7.4</v>
      </c>
      <c r="AW30" s="946">
        <f>AVERAGE(AX30:AX33)</f>
        <v>7.6</v>
      </c>
      <c r="AX30" s="949">
        <v>7.266666666666667</v>
      </c>
      <c r="AY30" s="893"/>
      <c r="AZ30" s="893"/>
    </row>
    <row r="31" ht="45.0" customHeight="1">
      <c r="B31" s="962" t="s">
        <v>243</v>
      </c>
      <c r="C31" s="338"/>
      <c r="D31" s="948">
        <v>7.904761904761905</v>
      </c>
      <c r="E31" s="338"/>
      <c r="F31" s="947">
        <v>7.9523809523809526</v>
      </c>
      <c r="G31" s="338"/>
      <c r="H31" s="948">
        <v>7.642857142857143</v>
      </c>
      <c r="I31" s="338"/>
      <c r="J31" s="948">
        <v>7.538461538461538</v>
      </c>
      <c r="K31" s="338"/>
      <c r="L31" s="949">
        <v>7.4</v>
      </c>
      <c r="M31" s="338"/>
      <c r="N31" s="949">
        <v>7.352941176470588</v>
      </c>
      <c r="O31" s="338"/>
      <c r="P31" s="945">
        <v>8.153846153846153</v>
      </c>
      <c r="Q31" s="338"/>
      <c r="R31" s="945">
        <v>8.2</v>
      </c>
      <c r="S31" s="338"/>
      <c r="T31" s="945">
        <v>8.266666666666667</v>
      </c>
      <c r="U31" s="338"/>
      <c r="V31" s="945">
        <v>8.076923076923077</v>
      </c>
      <c r="W31" s="338"/>
      <c r="X31" s="957">
        <v>8.583333333333334</v>
      </c>
      <c r="Y31" s="338"/>
      <c r="Z31" s="945">
        <v>8.2</v>
      </c>
      <c r="AA31" s="338"/>
      <c r="AB31" s="949">
        <v>7.5</v>
      </c>
      <c r="AC31" s="338"/>
      <c r="AD31" s="955">
        <v>7.333333333333333</v>
      </c>
      <c r="AE31" s="338"/>
      <c r="AF31" s="948">
        <v>7.923076923076923</v>
      </c>
      <c r="AG31" s="338"/>
      <c r="AH31" s="949">
        <v>7.357142857142857</v>
      </c>
      <c r="AI31" s="338"/>
      <c r="AJ31" s="952">
        <v>7.0</v>
      </c>
      <c r="AK31" s="338"/>
      <c r="AL31" s="949">
        <v>7.4</v>
      </c>
      <c r="AM31" s="338"/>
      <c r="AN31" s="948">
        <v>7.533333333333333</v>
      </c>
      <c r="AO31" s="338"/>
      <c r="AP31" s="945">
        <v>8.2</v>
      </c>
      <c r="AQ31" s="338"/>
      <c r="AR31" s="945">
        <v>8.25</v>
      </c>
      <c r="AS31" s="338"/>
      <c r="AT31" s="949">
        <v>7.153846153846154</v>
      </c>
      <c r="AU31" s="338"/>
      <c r="AV31" s="948">
        <v>7.533333333333333</v>
      </c>
      <c r="AW31" s="338"/>
      <c r="AX31" s="945">
        <v>8.133333333333333</v>
      </c>
      <c r="AY31" s="893"/>
      <c r="AZ31" s="893"/>
    </row>
    <row r="32">
      <c r="B32" s="763" t="s">
        <v>216</v>
      </c>
      <c r="C32" s="338"/>
      <c r="D32" s="949">
        <v>7.333333333333333</v>
      </c>
      <c r="E32" s="338"/>
      <c r="F32" s="947">
        <v>7.714285714285714</v>
      </c>
      <c r="G32" s="338"/>
      <c r="H32" s="948">
        <v>7.714285714285714</v>
      </c>
      <c r="I32" s="338"/>
      <c r="J32" s="945">
        <v>8.153846153846153</v>
      </c>
      <c r="K32" s="338"/>
      <c r="L32" s="948">
        <v>7.9</v>
      </c>
      <c r="M32" s="338"/>
      <c r="N32" s="945">
        <v>8.235294117647058</v>
      </c>
      <c r="O32" s="338"/>
      <c r="P32" s="948">
        <v>8.0</v>
      </c>
      <c r="Q32" s="338"/>
      <c r="R32" s="945">
        <v>8.266666666666667</v>
      </c>
      <c r="S32" s="338"/>
      <c r="T32" s="948">
        <v>7.8</v>
      </c>
      <c r="U32" s="338"/>
      <c r="V32" s="945">
        <v>8.153846153846153</v>
      </c>
      <c r="W32" s="338"/>
      <c r="X32" s="953">
        <v>8.25</v>
      </c>
      <c r="Y32" s="338"/>
      <c r="Z32" s="945">
        <v>8.3</v>
      </c>
      <c r="AA32" s="338"/>
      <c r="AB32" s="948">
        <v>7.9</v>
      </c>
      <c r="AC32" s="338"/>
      <c r="AD32" s="957">
        <v>8.666666666666666</v>
      </c>
      <c r="AE32" s="338"/>
      <c r="AF32" s="945">
        <v>8.076923076923077</v>
      </c>
      <c r="AG32" s="338"/>
      <c r="AH32" s="948">
        <v>7.714285714285714</v>
      </c>
      <c r="AI32" s="338"/>
      <c r="AJ32" s="948">
        <v>7.833333333333333</v>
      </c>
      <c r="AK32" s="338"/>
      <c r="AL32" s="948">
        <v>7.8</v>
      </c>
      <c r="AM32" s="338"/>
      <c r="AN32" s="949">
        <v>7.466666666666667</v>
      </c>
      <c r="AO32" s="338"/>
      <c r="AP32" s="945">
        <v>8.133333333333333</v>
      </c>
      <c r="AQ32" s="338"/>
      <c r="AR32" s="945">
        <v>8.25</v>
      </c>
      <c r="AS32" s="338"/>
      <c r="AT32" s="948">
        <v>7.923076923076923</v>
      </c>
      <c r="AU32" s="338"/>
      <c r="AV32" s="948">
        <v>7.8</v>
      </c>
      <c r="AW32" s="338"/>
      <c r="AX32" s="952">
        <v>6.733333333333333</v>
      </c>
      <c r="AY32" s="893"/>
      <c r="AZ32" s="893"/>
    </row>
    <row r="33">
      <c r="B33" s="763" t="s">
        <v>244</v>
      </c>
      <c r="C33" s="547"/>
      <c r="D33" s="956">
        <v>8.714285714285714</v>
      </c>
      <c r="E33" s="768"/>
      <c r="F33" s="953">
        <v>8.428571428571429</v>
      </c>
      <c r="G33" s="768"/>
      <c r="H33" s="945">
        <v>8.285714285714286</v>
      </c>
      <c r="I33" s="768"/>
      <c r="J33" s="949">
        <v>7.384615384615385</v>
      </c>
      <c r="K33" s="768"/>
      <c r="L33" s="951">
        <v>6.5</v>
      </c>
      <c r="M33" s="768"/>
      <c r="N33" s="949">
        <v>7.294117647058823</v>
      </c>
      <c r="O33" s="768"/>
      <c r="P33" s="945">
        <v>8.307692307692308</v>
      </c>
      <c r="Q33" s="768"/>
      <c r="R33" s="949">
        <v>7.466666666666667</v>
      </c>
      <c r="S33" s="768"/>
      <c r="T33" s="945">
        <v>8.2</v>
      </c>
      <c r="U33" s="768"/>
      <c r="V33" s="948">
        <v>7.769230769230769</v>
      </c>
      <c r="W33" s="768"/>
      <c r="X33" s="957">
        <v>8.916666666666666</v>
      </c>
      <c r="Y33" s="338"/>
      <c r="Z33" s="956">
        <v>8.6</v>
      </c>
      <c r="AA33" s="768"/>
      <c r="AB33" s="949">
        <v>7.2</v>
      </c>
      <c r="AC33" s="338"/>
      <c r="AD33" s="954">
        <v>6.5</v>
      </c>
      <c r="AE33" s="768"/>
      <c r="AF33" s="948">
        <v>7.769230769230769</v>
      </c>
      <c r="AG33" s="768"/>
      <c r="AH33" s="949">
        <v>7.357142857142857</v>
      </c>
      <c r="AI33" s="768"/>
      <c r="AJ33" s="952">
        <v>6.916666666666667</v>
      </c>
      <c r="AK33" s="768"/>
      <c r="AL33" s="948">
        <v>7.533333333333333</v>
      </c>
      <c r="AM33" s="768"/>
      <c r="AN33" s="948">
        <v>7.8</v>
      </c>
      <c r="AO33" s="768"/>
      <c r="AP33" s="945">
        <v>8.066666666666666</v>
      </c>
      <c r="AQ33" s="768"/>
      <c r="AR33" s="945">
        <v>8.083333333333334</v>
      </c>
      <c r="AS33" s="768"/>
      <c r="AT33" s="952">
        <v>7.0</v>
      </c>
      <c r="AU33" s="768"/>
      <c r="AV33" s="949">
        <v>7.266666666666667</v>
      </c>
      <c r="AW33" s="768"/>
      <c r="AX33" s="945">
        <v>8.266666666666667</v>
      </c>
      <c r="AY33" s="893"/>
      <c r="AZ33" s="893"/>
    </row>
    <row r="34">
      <c r="A34" s="963"/>
      <c r="B34" s="963"/>
      <c r="C34" s="964" t="s">
        <v>188</v>
      </c>
      <c r="D34" s="965">
        <f>AVERAGE(D3:D33)</f>
        <v>7.956221198</v>
      </c>
      <c r="E34" s="964" t="s">
        <v>188</v>
      </c>
      <c r="F34" s="965">
        <f>AVERAGE(F3:F33)</f>
        <v>7.945538333</v>
      </c>
      <c r="G34" s="964" t="s">
        <v>188</v>
      </c>
      <c r="H34" s="966">
        <f>AVERAGE(H3:H33)</f>
        <v>7.976958525</v>
      </c>
      <c r="I34" s="964" t="s">
        <v>188</v>
      </c>
      <c r="J34" s="965">
        <f>AVERAGE(J3:J33)</f>
        <v>7.751861042</v>
      </c>
      <c r="K34" s="964" t="s">
        <v>188</v>
      </c>
      <c r="L34" s="967">
        <f>AVERAGE(L3:L33)</f>
        <v>7.083870968</v>
      </c>
      <c r="M34" s="964" t="s">
        <v>188</v>
      </c>
      <c r="N34" s="965">
        <f>AVERAGE(N3:N33)</f>
        <v>7.593927894</v>
      </c>
      <c r="O34" s="964" t="s">
        <v>188</v>
      </c>
      <c r="P34" s="965">
        <f>AVERAGE(P3:P33)</f>
        <v>7.818858561</v>
      </c>
      <c r="Q34" s="964" t="s">
        <v>188</v>
      </c>
      <c r="R34" s="944">
        <f>AVERAGE(R3:R33)</f>
        <v>8.043010753</v>
      </c>
      <c r="S34" s="964" t="s">
        <v>188</v>
      </c>
      <c r="T34" s="968">
        <f>AVERAGE(T3:T33)</f>
        <v>8.002150538</v>
      </c>
      <c r="U34" s="964" t="s">
        <v>188</v>
      </c>
      <c r="V34" s="965">
        <f>AVERAGE(V3:V33)</f>
        <v>7.908188586</v>
      </c>
      <c r="W34" s="964" t="s">
        <v>188</v>
      </c>
      <c r="X34" s="969">
        <f>AVERAGE(X3:X33)</f>
        <v>8.426799007</v>
      </c>
      <c r="Y34" s="766" t="s">
        <v>188</v>
      </c>
      <c r="Z34" s="944">
        <f>AVERAGE(Z3:Z33)</f>
        <v>8.192668622</v>
      </c>
      <c r="AA34" s="964" t="s">
        <v>188</v>
      </c>
      <c r="AB34" s="965">
        <f>AVERAGE(AB3:AB33)</f>
        <v>7.51202346</v>
      </c>
      <c r="AC34" s="766" t="s">
        <v>188</v>
      </c>
      <c r="AD34" s="970">
        <f>AVERAGE(AD3:AD33)</f>
        <v>7.205837174</v>
      </c>
      <c r="AE34" s="971" t="s">
        <v>188</v>
      </c>
      <c r="AF34" s="946">
        <f>AVERAGE(AF3:AF33)</f>
        <v>7.980148883</v>
      </c>
      <c r="AG34" s="971" t="s">
        <v>188</v>
      </c>
      <c r="AH34" s="946">
        <f>AVERAGE(AH3:AH33)</f>
        <v>7.513824885</v>
      </c>
      <c r="AI34" s="971" t="s">
        <v>188</v>
      </c>
      <c r="AJ34" s="967">
        <f>AVERAGE(AJ3:AJ33)</f>
        <v>7.067204301</v>
      </c>
      <c r="AK34" s="971" t="s">
        <v>188</v>
      </c>
      <c r="AL34" s="965">
        <f>AVERAGE(AL3:AL33)</f>
        <v>7.883870968</v>
      </c>
      <c r="AM34" s="971" t="s">
        <v>188</v>
      </c>
      <c r="AN34" s="966">
        <f>AVERAGE(AN3:AN33)</f>
        <v>7.817204301</v>
      </c>
      <c r="AO34" s="971" t="s">
        <v>188</v>
      </c>
      <c r="AP34" s="968">
        <f>AVERAGE(AP3:AP33)</f>
        <v>8.047311828</v>
      </c>
      <c r="AQ34" s="971" t="s">
        <v>188</v>
      </c>
      <c r="AR34" s="944">
        <f>AVERAGE(AR3:AR33)</f>
        <v>8.110215054</v>
      </c>
      <c r="AS34" s="971" t="s">
        <v>188</v>
      </c>
      <c r="AT34" s="965">
        <f>AVERAGE(AT3:AT33)</f>
        <v>7.503722084</v>
      </c>
      <c r="AU34" s="971" t="s">
        <v>188</v>
      </c>
      <c r="AV34" s="767">
        <f>AVERAGE(AV3:AV33)</f>
        <v>7.453763441</v>
      </c>
      <c r="AW34" s="971" t="s">
        <v>188</v>
      </c>
      <c r="AX34" s="965">
        <f>AVERAGE(AX3:AX33)</f>
        <v>7.750403226</v>
      </c>
      <c r="AY34" s="893"/>
      <c r="AZ34" s="893"/>
    </row>
    <row r="35">
      <c r="A35" s="963"/>
      <c r="B35" s="963"/>
      <c r="C35" s="972"/>
      <c r="D35" s="773"/>
      <c r="E35" s="972"/>
      <c r="F35" s="773"/>
      <c r="G35" s="972"/>
      <c r="H35" s="972"/>
      <c r="I35" s="972"/>
      <c r="J35" s="773"/>
      <c r="K35" s="972"/>
      <c r="L35" s="773"/>
      <c r="M35" s="972"/>
      <c r="N35" s="773"/>
      <c r="O35" s="972"/>
      <c r="P35" s="773"/>
      <c r="Q35" s="972"/>
      <c r="R35" s="973"/>
      <c r="S35" s="972"/>
      <c r="T35" s="972"/>
      <c r="U35" s="972"/>
      <c r="V35" s="773"/>
      <c r="W35" s="972"/>
      <c r="X35" s="773"/>
      <c r="Y35" s="768"/>
      <c r="Z35" s="768"/>
      <c r="AA35" s="315"/>
      <c r="AB35" s="804"/>
      <c r="AC35" s="768"/>
      <c r="AD35" s="974"/>
      <c r="AE35" s="972"/>
      <c r="AF35" s="973"/>
      <c r="AG35" s="972"/>
      <c r="AH35" s="973"/>
      <c r="AI35" s="972"/>
      <c r="AJ35" s="773"/>
      <c r="AK35" s="972"/>
      <c r="AL35" s="773"/>
      <c r="AM35" s="972"/>
      <c r="AN35" s="972"/>
      <c r="AO35" s="972"/>
      <c r="AP35" s="972"/>
      <c r="AQ35" s="972"/>
      <c r="AR35" s="973"/>
      <c r="AS35" s="972"/>
      <c r="AT35" s="773"/>
      <c r="AU35" s="972"/>
      <c r="AV35" s="973"/>
      <c r="AW35" s="972"/>
      <c r="AX35" s="773"/>
      <c r="AY35" s="893"/>
      <c r="AZ35" s="893"/>
    </row>
    <row r="36" ht="25.5" customHeight="1">
      <c r="A36" s="890"/>
      <c r="B36" s="890"/>
      <c r="C36" s="975"/>
      <c r="D36" s="975"/>
      <c r="E36" s="975"/>
      <c r="F36" s="975"/>
      <c r="G36" s="935"/>
      <c r="H36" s="935"/>
      <c r="I36" s="935"/>
      <c r="J36" s="935"/>
      <c r="K36" s="935"/>
      <c r="L36" s="935"/>
      <c r="M36" s="935"/>
      <c r="N36" s="935"/>
      <c r="O36" s="935"/>
      <c r="P36" s="935"/>
      <c r="Q36" s="975"/>
      <c r="R36" s="975"/>
      <c r="S36" s="975"/>
      <c r="T36" s="975"/>
      <c r="U36" s="975"/>
      <c r="V36" s="975"/>
      <c r="W36" s="975"/>
      <c r="X36" s="975"/>
      <c r="Y36" s="975"/>
      <c r="Z36" s="975"/>
      <c r="AA36" s="934"/>
      <c r="AB36" s="934"/>
      <c r="AC36" s="935"/>
      <c r="AD36" s="935"/>
      <c r="AE36" s="935"/>
      <c r="AF36" s="935"/>
      <c r="AG36" s="935"/>
      <c r="AH36" s="935"/>
      <c r="AI36" s="935"/>
      <c r="AJ36" s="935"/>
      <c r="AK36" s="975"/>
      <c r="AL36" s="975"/>
      <c r="AM36" s="935"/>
      <c r="AN36" s="935"/>
      <c r="AO36" s="935"/>
      <c r="AP36" s="935"/>
      <c r="AQ36" s="935"/>
      <c r="AR36" s="935"/>
      <c r="AS36" s="935"/>
      <c r="AT36" s="935"/>
      <c r="AU36" s="935"/>
      <c r="AV36" s="935"/>
      <c r="AW36" s="935"/>
      <c r="AX36" s="935"/>
      <c r="AY36" s="893"/>
      <c r="AZ36" s="893"/>
    </row>
    <row r="37">
      <c r="A37" s="890"/>
      <c r="B37" s="936" t="s">
        <v>70</v>
      </c>
      <c r="C37" s="976" t="s">
        <v>462</v>
      </c>
      <c r="D37" s="311"/>
      <c r="E37" s="976" t="s">
        <v>463</v>
      </c>
      <c r="F37" s="311"/>
      <c r="G37" s="976" t="s">
        <v>464</v>
      </c>
      <c r="H37" s="311"/>
      <c r="I37" s="976" t="s">
        <v>465</v>
      </c>
      <c r="J37" s="311"/>
      <c r="K37" s="976" t="s">
        <v>466</v>
      </c>
      <c r="L37" s="311"/>
      <c r="M37" s="976" t="s">
        <v>467</v>
      </c>
      <c r="N37" s="311"/>
      <c r="O37" s="976" t="s">
        <v>468</v>
      </c>
      <c r="P37" s="311"/>
      <c r="Q37" s="976" t="s">
        <v>469</v>
      </c>
      <c r="R37" s="311"/>
      <c r="S37" s="976" t="s">
        <v>470</v>
      </c>
      <c r="T37" s="311"/>
      <c r="U37" s="976" t="s">
        <v>471</v>
      </c>
      <c r="V37" s="311"/>
      <c r="W37" s="976" t="s">
        <v>472</v>
      </c>
      <c r="X37" s="311"/>
      <c r="Y37" s="976" t="s">
        <v>473</v>
      </c>
      <c r="Z37" s="311"/>
      <c r="AA37" s="976" t="s">
        <v>474</v>
      </c>
      <c r="AB37" s="311"/>
      <c r="AC37" s="976" t="s">
        <v>475</v>
      </c>
      <c r="AD37" s="311"/>
      <c r="AE37" s="976" t="s">
        <v>476</v>
      </c>
      <c r="AF37" s="311"/>
      <c r="AG37" s="976" t="s">
        <v>477</v>
      </c>
      <c r="AH37" s="311"/>
      <c r="AI37" s="976" t="s">
        <v>478</v>
      </c>
      <c r="AJ37" s="311"/>
      <c r="AK37" s="976" t="s">
        <v>479</v>
      </c>
      <c r="AL37" s="311"/>
      <c r="AM37" s="976" t="s">
        <v>480</v>
      </c>
      <c r="AN37" s="311"/>
      <c r="AO37" s="976" t="s">
        <v>481</v>
      </c>
      <c r="AP37" s="311"/>
      <c r="AQ37" s="976" t="s">
        <v>482</v>
      </c>
      <c r="AR37" s="311"/>
      <c r="AS37" s="976" t="s">
        <v>483</v>
      </c>
      <c r="AT37" s="311"/>
      <c r="AU37" s="976" t="s">
        <v>484</v>
      </c>
      <c r="AV37" s="311"/>
      <c r="AW37" s="976" t="s">
        <v>485</v>
      </c>
      <c r="AX37" s="311"/>
      <c r="AY37" s="893"/>
      <c r="AZ37" s="893"/>
    </row>
    <row r="38">
      <c r="A38" s="890"/>
      <c r="B38" s="938" t="s">
        <v>73</v>
      </c>
      <c r="C38" s="976" t="s">
        <v>486</v>
      </c>
      <c r="D38" s="311"/>
      <c r="E38" s="976" t="s">
        <v>487</v>
      </c>
      <c r="F38" s="311"/>
      <c r="G38" s="976" t="s">
        <v>488</v>
      </c>
      <c r="H38" s="311"/>
      <c r="I38" s="976" t="s">
        <v>489</v>
      </c>
      <c r="J38" s="311"/>
      <c r="K38" s="976" t="s">
        <v>490</v>
      </c>
      <c r="L38" s="311"/>
      <c r="M38" s="976" t="s">
        <v>491</v>
      </c>
      <c r="N38" s="311"/>
      <c r="O38" s="976" t="s">
        <v>492</v>
      </c>
      <c r="P38" s="311"/>
      <c r="Q38" s="976" t="s">
        <v>493</v>
      </c>
      <c r="R38" s="311"/>
      <c r="S38" s="976" t="s">
        <v>494</v>
      </c>
      <c r="T38" s="311"/>
      <c r="U38" s="976" t="s">
        <v>495</v>
      </c>
      <c r="V38" s="311"/>
      <c r="W38" s="976" t="s">
        <v>496</v>
      </c>
      <c r="X38" s="311"/>
      <c r="Y38" s="976" t="s">
        <v>497</v>
      </c>
      <c r="Z38" s="311"/>
      <c r="AA38" s="976" t="s">
        <v>498</v>
      </c>
      <c r="AB38" s="311"/>
      <c r="AC38" s="976" t="s">
        <v>499</v>
      </c>
      <c r="AD38" s="311"/>
      <c r="AE38" s="976" t="s">
        <v>500</v>
      </c>
      <c r="AF38" s="311"/>
      <c r="AG38" s="976" t="s">
        <v>501</v>
      </c>
      <c r="AH38" s="311"/>
      <c r="AI38" s="976" t="s">
        <v>502</v>
      </c>
      <c r="AJ38" s="311"/>
      <c r="AK38" s="976" t="s">
        <v>503</v>
      </c>
      <c r="AL38" s="311"/>
      <c r="AM38" s="976" t="s">
        <v>504</v>
      </c>
      <c r="AN38" s="311"/>
      <c r="AO38" s="976" t="s">
        <v>505</v>
      </c>
      <c r="AP38" s="311"/>
      <c r="AQ38" s="976" t="s">
        <v>506</v>
      </c>
      <c r="AR38" s="311"/>
      <c r="AS38" s="976" t="s">
        <v>507</v>
      </c>
      <c r="AT38" s="311"/>
      <c r="AU38" s="976" t="s">
        <v>508</v>
      </c>
      <c r="AV38" s="311"/>
      <c r="AW38" s="976" t="s">
        <v>509</v>
      </c>
      <c r="AX38" s="311"/>
      <c r="AY38" s="893"/>
      <c r="AZ38" s="893"/>
    </row>
    <row r="39">
      <c r="A39" s="890"/>
      <c r="B39" s="890"/>
      <c r="C39" s="890"/>
      <c r="D39" s="890"/>
      <c r="E39" s="890"/>
      <c r="F39" s="890"/>
      <c r="G39" s="890"/>
      <c r="H39" s="890"/>
      <c r="I39" s="890"/>
      <c r="J39" s="890"/>
      <c r="K39" s="890"/>
      <c r="L39" s="890"/>
      <c r="M39" s="890"/>
      <c r="N39" s="890"/>
      <c r="O39" s="890"/>
      <c r="P39" s="890"/>
      <c r="Q39" s="890"/>
      <c r="R39" s="890"/>
      <c r="S39" s="890"/>
      <c r="T39" s="890"/>
      <c r="U39" s="890"/>
      <c r="V39" s="890"/>
      <c r="W39" s="890"/>
      <c r="X39" s="890"/>
      <c r="Y39" s="890"/>
      <c r="Z39" s="890"/>
      <c r="AA39" s="890"/>
      <c r="AB39" s="890"/>
      <c r="AC39" s="890"/>
      <c r="AD39" s="890"/>
      <c r="AE39" s="890"/>
      <c r="AF39" s="890"/>
      <c r="AG39" s="890"/>
      <c r="AH39" s="890"/>
      <c r="AI39" s="890"/>
      <c r="AJ39" s="890"/>
      <c r="AK39" s="890"/>
      <c r="AL39" s="890"/>
      <c r="AM39" s="890"/>
      <c r="AN39" s="890"/>
      <c r="AO39" s="890"/>
      <c r="AP39" s="890"/>
      <c r="AQ39" s="890"/>
      <c r="AR39" s="890"/>
      <c r="AS39" s="890"/>
      <c r="AT39" s="890"/>
      <c r="AU39" s="890"/>
      <c r="AV39" s="890"/>
      <c r="AW39" s="890"/>
      <c r="AX39" s="890"/>
      <c r="AY39" s="893"/>
      <c r="AZ39" s="893"/>
    </row>
    <row r="40">
      <c r="A40" s="890"/>
      <c r="B40" s="890"/>
      <c r="C40" s="890"/>
      <c r="D40" s="890"/>
      <c r="E40" s="890"/>
      <c r="F40" s="890"/>
      <c r="G40" s="890"/>
      <c r="H40" s="890"/>
      <c r="I40" s="890"/>
      <c r="J40" s="890"/>
      <c r="K40" s="890"/>
      <c r="L40" s="890"/>
      <c r="M40" s="890"/>
      <c r="N40" s="890"/>
      <c r="O40" s="890"/>
      <c r="P40" s="890"/>
      <c r="Q40" s="890"/>
      <c r="R40" s="890"/>
      <c r="S40" s="890"/>
      <c r="T40" s="890"/>
      <c r="U40" s="890"/>
      <c r="V40" s="890"/>
      <c r="W40" s="890"/>
      <c r="X40" s="890"/>
      <c r="Y40" s="890"/>
      <c r="Z40" s="890"/>
      <c r="AA40" s="890"/>
      <c r="AB40" s="890"/>
      <c r="AC40" s="890"/>
      <c r="AD40" s="890"/>
      <c r="AE40" s="890"/>
      <c r="AF40" s="890"/>
      <c r="AG40" s="890"/>
      <c r="AH40" s="890"/>
      <c r="AI40" s="890"/>
      <c r="AJ40" s="890"/>
      <c r="AK40" s="890"/>
      <c r="AL40" s="890"/>
      <c r="AM40" s="890"/>
      <c r="AN40" s="890"/>
      <c r="AO40" s="890"/>
      <c r="AP40" s="890"/>
      <c r="AQ40" s="890"/>
      <c r="AR40" s="890"/>
      <c r="AS40" s="890"/>
      <c r="AT40" s="890"/>
      <c r="AU40" s="890"/>
      <c r="AV40" s="890"/>
      <c r="AW40" s="890"/>
      <c r="AX40" s="890"/>
      <c r="AY40" s="893"/>
      <c r="AZ40" s="893"/>
    </row>
  </sheetData>
  <mergeCells count="270">
    <mergeCell ref="G3:G6"/>
    <mergeCell ref="G7:G15"/>
    <mergeCell ref="G16:G20"/>
    <mergeCell ref="I16:I20"/>
    <mergeCell ref="G21:G24"/>
    <mergeCell ref="I21:I24"/>
    <mergeCell ref="G25:G29"/>
    <mergeCell ref="I25:I29"/>
    <mergeCell ref="A3:A6"/>
    <mergeCell ref="E3:E6"/>
    <mergeCell ref="I3:I6"/>
    <mergeCell ref="M3:M6"/>
    <mergeCell ref="A7:A15"/>
    <mergeCell ref="E7:E15"/>
    <mergeCell ref="I7:I15"/>
    <mergeCell ref="AO7:AO15"/>
    <mergeCell ref="AQ7:AQ15"/>
    <mergeCell ref="AS7:AS15"/>
    <mergeCell ref="AU7:AU15"/>
    <mergeCell ref="AW7:AW15"/>
    <mergeCell ref="AA7:AA15"/>
    <mergeCell ref="AC7:AC15"/>
    <mergeCell ref="AE7:AE15"/>
    <mergeCell ref="AG7:AG15"/>
    <mergeCell ref="AI7:AI15"/>
    <mergeCell ref="AK7:AK15"/>
    <mergeCell ref="AM7:AM15"/>
    <mergeCell ref="AQ16:AQ20"/>
    <mergeCell ref="AQ21:AQ24"/>
    <mergeCell ref="AM25:AM29"/>
    <mergeCell ref="AO25:AO29"/>
    <mergeCell ref="AQ25:AQ29"/>
    <mergeCell ref="AS25:AS29"/>
    <mergeCell ref="AU25:AU29"/>
    <mergeCell ref="AW25:AW29"/>
    <mergeCell ref="C3:C6"/>
    <mergeCell ref="C7:C15"/>
    <mergeCell ref="A16:A20"/>
    <mergeCell ref="C16:C20"/>
    <mergeCell ref="E16:E20"/>
    <mergeCell ref="C21:C24"/>
    <mergeCell ref="E21:E24"/>
    <mergeCell ref="M7:M15"/>
    <mergeCell ref="O7:O15"/>
    <mergeCell ref="Q7:Q15"/>
    <mergeCell ref="S7:S15"/>
    <mergeCell ref="U7:U15"/>
    <mergeCell ref="W7:W15"/>
    <mergeCell ref="Y7:Y15"/>
    <mergeCell ref="AH34:AH35"/>
    <mergeCell ref="AI34:AI35"/>
    <mergeCell ref="AA34:AA35"/>
    <mergeCell ref="AB34:AB35"/>
    <mergeCell ref="AC34:AC35"/>
    <mergeCell ref="AD34:AD35"/>
    <mergeCell ref="AE34:AE35"/>
    <mergeCell ref="AF34:AF35"/>
    <mergeCell ref="AG34:AG35"/>
    <mergeCell ref="AQ34:AQ35"/>
    <mergeCell ref="AR34:AR35"/>
    <mergeCell ref="AJ34:AJ35"/>
    <mergeCell ref="AK34:AK35"/>
    <mergeCell ref="AL34:AL35"/>
    <mergeCell ref="AM34:AM35"/>
    <mergeCell ref="AN34:AN35"/>
    <mergeCell ref="AO34:AO35"/>
    <mergeCell ref="AP34:AP35"/>
    <mergeCell ref="C25:C29"/>
    <mergeCell ref="C30:C33"/>
    <mergeCell ref="C34:C35"/>
    <mergeCell ref="D34:D35"/>
    <mergeCell ref="E30:E33"/>
    <mergeCell ref="G30:G33"/>
    <mergeCell ref="E34:E35"/>
    <mergeCell ref="F34:F35"/>
    <mergeCell ref="G34:G35"/>
    <mergeCell ref="H34:H35"/>
    <mergeCell ref="I34:I35"/>
    <mergeCell ref="J34:J35"/>
    <mergeCell ref="K25:K29"/>
    <mergeCell ref="K30:K33"/>
    <mergeCell ref="K34:K35"/>
    <mergeCell ref="L34:L35"/>
    <mergeCell ref="M34:M35"/>
    <mergeCell ref="N34:N35"/>
    <mergeCell ref="A21:A24"/>
    <mergeCell ref="A25:A29"/>
    <mergeCell ref="E25:E29"/>
    <mergeCell ref="M25:M29"/>
    <mergeCell ref="A30:A33"/>
    <mergeCell ref="I30:I33"/>
    <mergeCell ref="M30:M33"/>
    <mergeCell ref="AA30:AA33"/>
    <mergeCell ref="AC30:AC33"/>
    <mergeCell ref="AE30:AE33"/>
    <mergeCell ref="AG30:AG33"/>
    <mergeCell ref="AI30:AI33"/>
    <mergeCell ref="AK30:AK33"/>
    <mergeCell ref="AM30:AM33"/>
    <mergeCell ref="T34:T35"/>
    <mergeCell ref="U34:U35"/>
    <mergeCell ref="V34:V35"/>
    <mergeCell ref="W34:W35"/>
    <mergeCell ref="X34:X35"/>
    <mergeCell ref="Y34:Y35"/>
    <mergeCell ref="Z34:Z35"/>
    <mergeCell ref="AU34:AU35"/>
    <mergeCell ref="AV34:AV35"/>
    <mergeCell ref="AO30:AO33"/>
    <mergeCell ref="AQ30:AQ33"/>
    <mergeCell ref="AS30:AS33"/>
    <mergeCell ref="AU30:AU33"/>
    <mergeCell ref="AW30:AW33"/>
    <mergeCell ref="AS34:AS35"/>
    <mergeCell ref="AT34:AT35"/>
    <mergeCell ref="AW34:AW35"/>
    <mergeCell ref="Q1:R1"/>
    <mergeCell ref="S1:T1"/>
    <mergeCell ref="U1:V1"/>
    <mergeCell ref="W1:X1"/>
    <mergeCell ref="Y1:Z1"/>
    <mergeCell ref="AA1:AB1"/>
    <mergeCell ref="AC1:AD1"/>
    <mergeCell ref="AS1:AT1"/>
    <mergeCell ref="AU1:AV1"/>
    <mergeCell ref="AW1:AX1"/>
    <mergeCell ref="AE1:AF1"/>
    <mergeCell ref="AG1:AH1"/>
    <mergeCell ref="AI1:AJ1"/>
    <mergeCell ref="AK1:AL1"/>
    <mergeCell ref="AM1:AN1"/>
    <mergeCell ref="AO1:AP1"/>
    <mergeCell ref="AQ1:AR1"/>
    <mergeCell ref="C1:D1"/>
    <mergeCell ref="E1:F1"/>
    <mergeCell ref="G1:H1"/>
    <mergeCell ref="I1:J1"/>
    <mergeCell ref="K1:L1"/>
    <mergeCell ref="M1:N1"/>
    <mergeCell ref="O1:P1"/>
    <mergeCell ref="O3:O6"/>
    <mergeCell ref="Q3:Q6"/>
    <mergeCell ref="S3:S6"/>
    <mergeCell ref="U3:U6"/>
    <mergeCell ref="W3:W6"/>
    <mergeCell ref="Y3:Y6"/>
    <mergeCell ref="AA3:AA6"/>
    <mergeCell ref="AQ3:AQ6"/>
    <mergeCell ref="AS3:AS6"/>
    <mergeCell ref="AU3:AU6"/>
    <mergeCell ref="AW3:AW6"/>
    <mergeCell ref="AC3:AC6"/>
    <mergeCell ref="AE3:AE6"/>
    <mergeCell ref="AG3:AG6"/>
    <mergeCell ref="AI3:AI6"/>
    <mergeCell ref="AK3:AK6"/>
    <mergeCell ref="AM3:AM6"/>
    <mergeCell ref="AO3:AO6"/>
    <mergeCell ref="AI16:AI20"/>
    <mergeCell ref="AK16:AK20"/>
    <mergeCell ref="U16:U20"/>
    <mergeCell ref="W16:W20"/>
    <mergeCell ref="Y16:Y20"/>
    <mergeCell ref="AA16:AA20"/>
    <mergeCell ref="AC16:AC20"/>
    <mergeCell ref="AE16:AE20"/>
    <mergeCell ref="AG16:AG20"/>
    <mergeCell ref="M16:M20"/>
    <mergeCell ref="M21:M24"/>
    <mergeCell ref="Q16:Q20"/>
    <mergeCell ref="Q21:Q24"/>
    <mergeCell ref="K3:K6"/>
    <mergeCell ref="K7:K15"/>
    <mergeCell ref="K16:K20"/>
    <mergeCell ref="O16:O20"/>
    <mergeCell ref="S16:S20"/>
    <mergeCell ref="K21:K24"/>
    <mergeCell ref="O21:O24"/>
    <mergeCell ref="S21:S24"/>
    <mergeCell ref="AI21:AI24"/>
    <mergeCell ref="AK21:AK24"/>
    <mergeCell ref="U21:U24"/>
    <mergeCell ref="W21:W24"/>
    <mergeCell ref="Y21:Y24"/>
    <mergeCell ref="AA21:AA24"/>
    <mergeCell ref="AC21:AC24"/>
    <mergeCell ref="AE21:AE24"/>
    <mergeCell ref="AG21:AG24"/>
    <mergeCell ref="AU16:AU20"/>
    <mergeCell ref="AU21:AU24"/>
    <mergeCell ref="AX34:AX35"/>
    <mergeCell ref="AU37:AV37"/>
    <mergeCell ref="AW37:AX37"/>
    <mergeCell ref="AM16:AM20"/>
    <mergeCell ref="AO16:AO20"/>
    <mergeCell ref="AS16:AS20"/>
    <mergeCell ref="AW16:AW20"/>
    <mergeCell ref="AO21:AO24"/>
    <mergeCell ref="AS21:AS24"/>
    <mergeCell ref="AW21:AW24"/>
    <mergeCell ref="AQ38:AR38"/>
    <mergeCell ref="AS38:AT38"/>
    <mergeCell ref="AU38:AV38"/>
    <mergeCell ref="AW38:AX38"/>
    <mergeCell ref="AM21:AM24"/>
    <mergeCell ref="AM37:AN37"/>
    <mergeCell ref="AO37:AP37"/>
    <mergeCell ref="AQ37:AR37"/>
    <mergeCell ref="AS37:AT37"/>
    <mergeCell ref="AM38:AN38"/>
    <mergeCell ref="AO38:AP38"/>
    <mergeCell ref="AI25:AI29"/>
    <mergeCell ref="AK25:AK29"/>
    <mergeCell ref="U25:U29"/>
    <mergeCell ref="W25:W29"/>
    <mergeCell ref="Y25:Y29"/>
    <mergeCell ref="AA25:AA29"/>
    <mergeCell ref="AC25:AC29"/>
    <mergeCell ref="AE25:AE29"/>
    <mergeCell ref="AG25:AG29"/>
    <mergeCell ref="Q25:Q29"/>
    <mergeCell ref="S25:S29"/>
    <mergeCell ref="Q30:Q33"/>
    <mergeCell ref="S30:S33"/>
    <mergeCell ref="U30:U33"/>
    <mergeCell ref="W30:W33"/>
    <mergeCell ref="Y30:Y33"/>
    <mergeCell ref="O25:O29"/>
    <mergeCell ref="O30:O33"/>
    <mergeCell ref="O34:O35"/>
    <mergeCell ref="P34:P35"/>
    <mergeCell ref="Q34:Q35"/>
    <mergeCell ref="R34:R35"/>
    <mergeCell ref="S34:S35"/>
    <mergeCell ref="AE37:AF37"/>
    <mergeCell ref="AG37:AH37"/>
    <mergeCell ref="AI37:AJ37"/>
    <mergeCell ref="AK37:AL37"/>
    <mergeCell ref="Q37:R37"/>
    <mergeCell ref="S37:T37"/>
    <mergeCell ref="U37:V37"/>
    <mergeCell ref="W37:X37"/>
    <mergeCell ref="Y37:Z37"/>
    <mergeCell ref="AA37:AB37"/>
    <mergeCell ref="AC37:AD37"/>
    <mergeCell ref="C37:D37"/>
    <mergeCell ref="E37:F37"/>
    <mergeCell ref="G37:H37"/>
    <mergeCell ref="I37:J37"/>
    <mergeCell ref="K37:L37"/>
    <mergeCell ref="M37:N37"/>
    <mergeCell ref="O37:P37"/>
    <mergeCell ref="C38:D38"/>
    <mergeCell ref="E38:F38"/>
    <mergeCell ref="G38:H38"/>
    <mergeCell ref="I38:J38"/>
    <mergeCell ref="K38:L38"/>
    <mergeCell ref="M38:N38"/>
    <mergeCell ref="O38:P38"/>
    <mergeCell ref="AE38:AF38"/>
    <mergeCell ref="AG38:AH38"/>
    <mergeCell ref="AI38:AJ38"/>
    <mergeCell ref="AK38:AL38"/>
    <mergeCell ref="Q38:R38"/>
    <mergeCell ref="S38:T38"/>
    <mergeCell ref="U38:V38"/>
    <mergeCell ref="W38:X38"/>
    <mergeCell ref="Y38:Z38"/>
    <mergeCell ref="AA38:AB38"/>
    <mergeCell ref="AC38:AD38"/>
  </mergeCells>
  <conditionalFormatting sqref="E3:E28 F3:F32 G3:G28 H3:H31 I3:I28 J3:J31 Q3:Q28 R3:R31 Y3:Y28 Z3:Z31 AI3:AI28 AJ3:AJ31 Z34:Z35">
    <cfRule type="cellIs" dxfId="5" priority="1" operator="between">
      <formula>7.10001</formula>
      <formula>7.5</formula>
    </cfRule>
  </conditionalFormatting>
  <conditionalFormatting sqref="C3:C31 D3:D32 E3:E31 F3:F33 G3:Y31 Z3:Z35 AA3:AX31">
    <cfRule type="cellIs" dxfId="1" priority="2" operator="greaterThan">
      <formula>8.5</formula>
    </cfRule>
  </conditionalFormatting>
  <conditionalFormatting sqref="C3:C31 D3:D32 E3:E31 F3:F33 G3:Y31 Z3:Z35 AA3:AX31">
    <cfRule type="cellIs" dxfId="12" priority="3" operator="between">
      <formula>8.000001</formula>
      <formula>8.5</formula>
    </cfRule>
  </conditionalFormatting>
  <conditionalFormatting sqref="C3:C31 D3:D32 E3:E31 F3:F33 G3:Y31 Z3:Z35 AA3:AX31">
    <cfRule type="cellIs" dxfId="3" priority="4" operator="between">
      <formula>7.500001</formula>
      <formula>8</formula>
    </cfRule>
  </conditionalFormatting>
  <conditionalFormatting sqref="C3:C28 D3:D32 E3:E28 G3:G28 I3:I28 K3:K28 M3:M28 O3:O28 Q3:Q28 S3:S28 U3:U28 W3:W28 X3:X31 Y3:Y28 Z3:Z31 AA3:AA28 AB3:AD31 AE3:AE28 AG3:AG28 AH3:AH31 AI3:AI28 AK3:AK28 AM3:AM28 AO3:AO28 AQ3:AQ28 AR3:AR31 AS3:AS28 AT3:AT31 F32:F33 Z34:Z35">
    <cfRule type="cellIs" dxfId="4" priority="5" operator="between">
      <formula>6.50001</formula>
      <formula>7</formula>
    </cfRule>
  </conditionalFormatting>
  <conditionalFormatting sqref="C3:C31 D3:D32 E3:E31 G3:G31 I3:I31 K3:Q31 S3:Y31 Z3:Z35 AA3:AI31 AK3:AX31 F32:F33">
    <cfRule type="cellIs" dxfId="5" priority="6" operator="between">
      <formula>7.00001</formula>
      <formula>7.5</formula>
    </cfRule>
  </conditionalFormatting>
  <conditionalFormatting sqref="C3:C29 D3:D31 E3:E29 F3:F31 G3:G29 I3:I29 J3:J31 K3:K29 L3:L31 M3:M29 N3:N31 O3:O29 P3:P31 Q3:Q29 R3:R31 S3:S29 T3:T31 U3:U29 V3:V31 W3:W29 X3:X31 Y3:Y29 Z3:Z31 AA3:AA29 AB3:AF33 AG3:AG29 AH3:AH33 AI3:AI29 AJ3:AJ33 AK3:AK29 AL3:AL33 AM3:AM29 AN3:AN33 AO3:AO29 AP3:AP33 AQ3:AQ29 AR3:AR33 AS3:AS29 AT3:AT33 AU3:AU29 AV3:AV33 AW3:AW29 AX3:AX33">
    <cfRule type="cellIs" dxfId="1" priority="7" operator="greaterThan">
      <formula>8.8</formula>
    </cfRule>
  </conditionalFormatting>
  <conditionalFormatting sqref="C3:C29 D3:D31 E3:E29 F3:F31 G3:G29 I3:I29 J3:J31 K3:K29 L3:L31 M3:M29 N3:N31 O3:O29 P3:P31 Q3:Q29 R3:R31 S3:S29 T3:T31 U3:U29 V3:V31 W3:W29 X3:X31 Y3:Y29 Z3:Z31 AA3:AA29 AB3:AF33 AG3:AG29 AH3:AH33 AI3:AI29 AJ3:AJ33 AK3:AK29 AL3:AL33 AM3:AM29 AN3:AN33 AO3:AO29 AP3:AP33 AQ3:AQ29 AR3:AR33 AS3:AS29 AT3:AT33 AU3:AU29 AV3:AV33 AW3:AW29 AX3:AX33">
    <cfRule type="cellIs" dxfId="12" priority="8" operator="between">
      <formula>8.300001</formula>
      <formula>8.8</formula>
    </cfRule>
  </conditionalFormatting>
  <conditionalFormatting sqref="C3:C29 D3:D31 E3:E29 F3:F31 G3:G29 I3:I29 J3:J31 K3:K29 L3:L31 M3:M29 N3:N31 O3:O29 P3:P31 Q3:Q29 R3:R31 S3:S29 T3:T31 U3:U29 V3:V31 W3:W29 X3:X31 Y3:Y29 Z3:Z31 AA3:AA29 AB3:AF33 AG3:AG29 AH3:AH33 AI3:AI29 AJ3:AJ33 AK3:AK29 AL3:AL33 AM3:AM29 AN3:AN33 AO3:AO29 AP3:AP33 AQ3:AQ29 AR3:AR33 AS3:AS29 AT3:AT33 AU3:AU29 AV3:AV33 AW3:AW29 AX3:AX33">
    <cfRule type="cellIs" dxfId="3" priority="9" operator="between">
      <formula>7.800001</formula>
      <formula>8.3</formula>
    </cfRule>
  </conditionalFormatting>
  <conditionalFormatting sqref="C3:E31 F3:F32 G3:Y31 Z3:Z35 AA3:AA31 AB3:AX33">
    <cfRule type="cellIs" dxfId="4" priority="10" operator="between">
      <formula>6.50001</formula>
      <formula>7.1</formula>
    </cfRule>
  </conditionalFormatting>
  <conditionalFormatting sqref="C3:C29 D3:D31 E3:E29 F3:F31 G3:G29 I3:I29 J3:J31 K3:K29 L3:L31 M3:M29 N3:N31 O3:O29 P3:P31 Q3:Q29 R3:R31 S3:S29 T3:T31 U3:U29 V3:V31 W3:W29 X3:X31 Y3:Y29 Z3:Z31 AA3:AA29 AB3:AF33 AG3:AG29 AH3:AH33 AI3:AI29 AJ3:AJ33 AK3:AK29 AL3:AL33 AM3:AM29 AN3:AN33 AO3:AO29 AP3:AP33 AQ3:AQ29 AR3:AR33 AS3:AS29 AT3:AT33 AU3:AU29 AV3:AV33 AW3:AW29 AX3:AX33">
    <cfRule type="cellIs" dxfId="5" priority="11" operator="between">
      <formula>7.10001</formula>
      <formula>7.8</formula>
    </cfRule>
  </conditionalFormatting>
  <conditionalFormatting sqref="C3:C31 D3:E32 F3:F33 G3:Y32 Z3:Z35 AA3:AA32 AB3:AX33">
    <cfRule type="cellIs" dxfId="6" priority="12" operator="between">
      <formula>0</formula>
      <formula>6.5</formula>
    </cfRule>
  </conditionalFormatting>
  <conditionalFormatting sqref="C3:C29 D3:D32 E3:E29 F3:F33 G3:I29 J3:J32 K3:M29 N3:N32 O3:S29 T3:T30 U3:Y29 Z3:Z30 AA3:AD29 AE3:AE32 AF3:AF33 AG3:AG29 AH3:AH32 AI3:AI29 AJ3:AJ32 AK3:AQ29 AR3:AR32 AS3:AS29 AT3:AT32 AU3:AU29 AV3:AV32 AW3:AW29 AX3:AX32 H32 L32 P32 R32 T32 V32 X32 Z32 AB32 AD32 AL32 AN32 AP32">
    <cfRule type="cellIs" dxfId="4" priority="13" operator="between">
      <formula>6.50001</formula>
      <formula>7.2</formula>
    </cfRule>
  </conditionalFormatting>
  <conditionalFormatting sqref="C3:C29 D3:D32 E3:E29 F3:F33 G3:I29 J3:J32 K3:M29 N3:N32 O3:S29 T3:T30 U3:Y29 Z3:Z30 AA3:AD29 AE3:AE32 AF3:AF33 AG3:AG29 AH3:AH32 AI3:AI29 AJ3:AJ32 AK3:AQ29 AR3:AR32 AS3:AS29 AT3:AT32 AU3:AU29 AV3:AV32 AW3:AW29 AX3:AX32 H32 L32 P32 R32 T32 V32 X32 Z32 AB32 AD32 AL32 AN32 AP32">
    <cfRule type="cellIs" dxfId="5" priority="14" operator="between">
      <formula>7.20001</formula>
      <formula>8</formula>
    </cfRule>
  </conditionalFormatting>
  <conditionalFormatting sqref="C3:C29 D3:D32 E3:E29 F3:F33 G3:I29 J3:J32 K3:M29 N3:N32 O3:S29 T3:T30 U3:Y29 Z3:Z30 AA3:AD29 AE3:AE32 AF3:AF33 AG3:AG29 AH3:AH32 AI3:AI29 AJ3:AJ32 AK3:AQ29 AR3:AR32 AS3:AS29 AT3:AT32 AU3:AU29 AV3:AV32 AW3:AW29 AX3:AX32 H32 L32 P32 R32 T32 V32 X32 Z32 AB32 AD32 AL32 AN32 AP32">
    <cfRule type="cellIs" dxfId="3" priority="15" operator="between">
      <formula>8.0001</formula>
      <formula>8.5</formula>
    </cfRule>
  </conditionalFormatting>
  <conditionalFormatting sqref="C3:C29 D3:D32 E3:E29 F3:F33 G3:I29 J3:J32 K3:M29 N3:N32 O3:S29 T3:T30 U3:Y29 Z3:Z30 AA3:AD29 AE3:AE32 AF3:AF33 AG3:AG29 AH3:AH32 AI3:AI29 AJ3:AJ32 AK3:AQ29 AR3:AR32 AS3:AS29 AT3:AT32 AU3:AU29 AV3:AV32 AW3:AW29 AX3:AX32 H32 L32 P32 R32 T32 V32 X32 Z32 AB32 AD32 AL32 AN32 AP32">
    <cfRule type="cellIs" dxfId="12" priority="16" operator="between">
      <formula>8.50001</formula>
      <formula>9</formula>
    </cfRule>
  </conditionalFormatting>
  <conditionalFormatting sqref="C3:C29 D3:D32 E3:E29 F3:F33 G3:I29 J3:J32 K3:M29 N3:N32 O3:S29 T3:T30 U3:Y29 Z3:Z30 AA3:AD29 AE3:AE32 AF3:AF33 AG3:AG29 AH3:AH32 AI3:AI29 AJ3:AJ32 AK3:AQ29 AR3:AR32 AS3:AS29 AT3:AT32 AU3:AU29 AV3:AV32 AW3:AW29 AX3:AX32 H32 L32 P32 R32 T32 V32 X32 Z32 AB32 AD32 AL32 AN32 AP32">
    <cfRule type="cellIs" dxfId="1" priority="17" operator="greaterThan">
      <formula>9</formula>
    </cfRule>
  </conditionalFormatting>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1.57"/>
    <col customWidth="1" min="2" max="2" width="58.71"/>
    <col customWidth="1" min="3" max="3" width="16.43"/>
    <col customWidth="1" min="4" max="4" width="16.29"/>
  </cols>
  <sheetData>
    <row r="1" ht="45.0" customHeight="1">
      <c r="A1" s="977"/>
      <c r="B1" s="978"/>
      <c r="C1" s="979" t="s">
        <v>386</v>
      </c>
      <c r="D1" s="311"/>
      <c r="E1" s="979" t="s">
        <v>391</v>
      </c>
      <c r="F1" s="311"/>
      <c r="G1" s="979" t="s">
        <v>455</v>
      </c>
      <c r="H1" s="311"/>
      <c r="I1" s="979" t="s">
        <v>510</v>
      </c>
      <c r="J1" s="311"/>
      <c r="K1" s="979" t="s">
        <v>511</v>
      </c>
      <c r="L1" s="311"/>
      <c r="M1" s="979" t="s">
        <v>512</v>
      </c>
      <c r="N1" s="311"/>
      <c r="O1" s="979" t="s">
        <v>513</v>
      </c>
      <c r="P1" s="311"/>
      <c r="Q1" s="979" t="s">
        <v>514</v>
      </c>
      <c r="R1" s="311"/>
      <c r="S1" s="979" t="s">
        <v>515</v>
      </c>
      <c r="T1" s="311"/>
      <c r="U1" s="979" t="s">
        <v>452</v>
      </c>
      <c r="V1" s="311"/>
      <c r="W1" s="979" t="s">
        <v>516</v>
      </c>
      <c r="X1" s="311"/>
      <c r="Y1" s="979" t="s">
        <v>517</v>
      </c>
      <c r="Z1" s="311"/>
      <c r="AA1" s="979" t="s">
        <v>518</v>
      </c>
      <c r="AB1" s="311"/>
      <c r="AC1" s="979" t="s">
        <v>519</v>
      </c>
      <c r="AD1" s="311"/>
      <c r="AE1" s="979" t="s">
        <v>520</v>
      </c>
      <c r="AF1" s="311"/>
      <c r="AG1" s="979" t="s">
        <v>521</v>
      </c>
      <c r="AH1" s="311"/>
      <c r="AI1" s="979" t="s">
        <v>522</v>
      </c>
      <c r="AJ1" s="311"/>
      <c r="AK1" s="979" t="s">
        <v>523</v>
      </c>
      <c r="AL1" s="311"/>
      <c r="AM1" s="979" t="s">
        <v>524</v>
      </c>
      <c r="AN1" s="311"/>
      <c r="AO1" s="979" t="s">
        <v>525</v>
      </c>
      <c r="AP1" s="311"/>
      <c r="AQ1" s="979" t="s">
        <v>449</v>
      </c>
      <c r="AR1" s="311"/>
      <c r="AS1" s="979" t="s">
        <v>526</v>
      </c>
      <c r="AT1" s="311"/>
      <c r="AU1" s="979" t="s">
        <v>159</v>
      </c>
      <c r="AV1" s="311"/>
      <c r="AW1" s="979" t="s">
        <v>527</v>
      </c>
      <c r="AX1" s="311"/>
      <c r="AY1" s="979" t="s">
        <v>528</v>
      </c>
      <c r="AZ1" s="311"/>
      <c r="BA1" s="980"/>
    </row>
    <row r="2" ht="45.0" customHeight="1">
      <c r="A2" s="977"/>
      <c r="B2" s="981" t="s">
        <v>529</v>
      </c>
      <c r="C2" s="982" t="s">
        <v>27</v>
      </c>
      <c r="D2" s="983" t="s">
        <v>4</v>
      </c>
      <c r="E2" s="983" t="s">
        <v>27</v>
      </c>
      <c r="F2" s="983" t="s">
        <v>4</v>
      </c>
      <c r="G2" s="982" t="s">
        <v>27</v>
      </c>
      <c r="H2" s="983" t="s">
        <v>4</v>
      </c>
      <c r="I2" s="983" t="s">
        <v>27</v>
      </c>
      <c r="J2" s="983" t="s">
        <v>4</v>
      </c>
      <c r="K2" s="983" t="s">
        <v>27</v>
      </c>
      <c r="L2" s="983" t="s">
        <v>4</v>
      </c>
      <c r="M2" s="983" t="s">
        <v>27</v>
      </c>
      <c r="N2" s="983" t="s">
        <v>4</v>
      </c>
      <c r="O2" s="983" t="s">
        <v>27</v>
      </c>
      <c r="P2" s="983" t="s">
        <v>4</v>
      </c>
      <c r="Q2" s="983" t="s">
        <v>27</v>
      </c>
      <c r="R2" s="983" t="s">
        <v>4</v>
      </c>
      <c r="S2" s="983" t="s">
        <v>27</v>
      </c>
      <c r="T2" s="983" t="s">
        <v>4</v>
      </c>
      <c r="U2" s="983" t="s">
        <v>27</v>
      </c>
      <c r="V2" s="983" t="s">
        <v>4</v>
      </c>
      <c r="W2" s="983" t="s">
        <v>27</v>
      </c>
      <c r="X2" s="983" t="s">
        <v>4</v>
      </c>
      <c r="Y2" s="982" t="s">
        <v>27</v>
      </c>
      <c r="Z2" s="983" t="s">
        <v>4</v>
      </c>
      <c r="AA2" s="983" t="s">
        <v>27</v>
      </c>
      <c r="AB2" s="983" t="s">
        <v>4</v>
      </c>
      <c r="AC2" s="983" t="s">
        <v>27</v>
      </c>
      <c r="AD2" s="983" t="s">
        <v>4</v>
      </c>
      <c r="AE2" s="982" t="s">
        <v>27</v>
      </c>
      <c r="AF2" s="983" t="s">
        <v>4</v>
      </c>
      <c r="AG2" s="983" t="s">
        <v>27</v>
      </c>
      <c r="AH2" s="983" t="s">
        <v>4</v>
      </c>
      <c r="AI2" s="983" t="s">
        <v>27</v>
      </c>
      <c r="AJ2" s="983" t="s">
        <v>4</v>
      </c>
      <c r="AK2" s="983" t="s">
        <v>27</v>
      </c>
      <c r="AL2" s="983" t="s">
        <v>4</v>
      </c>
      <c r="AM2" s="983" t="s">
        <v>27</v>
      </c>
      <c r="AN2" s="983" t="s">
        <v>4</v>
      </c>
      <c r="AO2" s="983" t="s">
        <v>27</v>
      </c>
      <c r="AP2" s="983" t="s">
        <v>4</v>
      </c>
      <c r="AQ2" s="983" t="s">
        <v>27</v>
      </c>
      <c r="AR2" s="983" t="s">
        <v>4</v>
      </c>
      <c r="AS2" s="983" t="s">
        <v>27</v>
      </c>
      <c r="AT2" s="983" t="s">
        <v>4</v>
      </c>
      <c r="AU2" s="983" t="s">
        <v>27</v>
      </c>
      <c r="AV2" s="983" t="s">
        <v>4</v>
      </c>
      <c r="AW2" s="983" t="s">
        <v>27</v>
      </c>
      <c r="AX2" s="983" t="s">
        <v>4</v>
      </c>
      <c r="AY2" s="983" t="s">
        <v>27</v>
      </c>
      <c r="AZ2" s="983" t="s">
        <v>4</v>
      </c>
      <c r="BA2" s="980"/>
    </row>
    <row r="3" ht="52.5" customHeight="1">
      <c r="A3" s="984" t="s">
        <v>29</v>
      </c>
      <c r="B3" s="985" t="s">
        <v>161</v>
      </c>
      <c r="C3" s="709">
        <f>AVERAGE(D3:D7)</f>
        <v>7.958352403</v>
      </c>
      <c r="D3" s="986">
        <v>7.913043478260869</v>
      </c>
      <c r="E3" s="709">
        <f>AVERAGE(F3:F7)</f>
        <v>7.618804348</v>
      </c>
      <c r="F3" s="987">
        <v>7.869565217391305</v>
      </c>
      <c r="G3" s="988">
        <f>AVERAGE(H3:H7)</f>
        <v>8.093939394</v>
      </c>
      <c r="H3" s="989">
        <v>7.833333333333333</v>
      </c>
      <c r="I3" s="988">
        <f>AVERAGE(J3:J7)</f>
        <v>8.004444444</v>
      </c>
      <c r="J3" s="989">
        <v>7.9</v>
      </c>
      <c r="K3" s="988">
        <f>AVERAGE(L3:L7)</f>
        <v>6.965454545</v>
      </c>
      <c r="L3" s="989">
        <v>7.2727272727272725</v>
      </c>
      <c r="M3" s="988">
        <f>AVERAGE(N3:N7)</f>
        <v>7.373333333</v>
      </c>
      <c r="N3" s="989">
        <v>7.933333333333334</v>
      </c>
      <c r="O3" s="988">
        <f>AVERAGE(P3:P7)</f>
        <v>8.037777778</v>
      </c>
      <c r="P3" s="989">
        <v>8.2</v>
      </c>
      <c r="Q3" s="988">
        <f>AVERAGE(R3:R7)</f>
        <v>7.114285714</v>
      </c>
      <c r="R3" s="989">
        <v>7.428571428571429</v>
      </c>
      <c r="S3" s="988">
        <f>AVERAGE(T3:T7)</f>
        <v>8.261538462</v>
      </c>
      <c r="T3" s="989">
        <v>7.923076923076923</v>
      </c>
      <c r="U3" s="709">
        <f>AVERAGE(V3:V7)</f>
        <v>7.588398268</v>
      </c>
      <c r="V3" s="987">
        <v>8.1</v>
      </c>
      <c r="W3" s="709">
        <f>AVERAGE(X3:X7)</f>
        <v>7.174545455</v>
      </c>
      <c r="X3" s="987">
        <v>7.0</v>
      </c>
      <c r="Y3" s="709">
        <f>AVERAGE(Z3:Z7)</f>
        <v>7.8</v>
      </c>
      <c r="Z3" s="990">
        <v>8.066666666666666</v>
      </c>
      <c r="AA3" s="988">
        <f>AVERAGE(AB3:AB7)</f>
        <v>7.305147059</v>
      </c>
      <c r="AB3" s="991">
        <v>7.529411764705882</v>
      </c>
      <c r="AC3" s="709">
        <f>AVERAGE(AD3:AD7)</f>
        <v>7.729411765</v>
      </c>
      <c r="AD3" s="987">
        <v>7.705882352941177</v>
      </c>
      <c r="AE3" s="709">
        <f>AVERAGE(AF3:AF7)</f>
        <v>6.860606061</v>
      </c>
      <c r="AF3" s="987">
        <v>6.75</v>
      </c>
      <c r="AG3" s="709">
        <f>AVERAGE(AH3:AH7)</f>
        <v>7.205494505</v>
      </c>
      <c r="AH3" s="987">
        <v>7.142857142857143</v>
      </c>
      <c r="AI3" s="709">
        <f>AVERAGE(AJ3:AJ7)</f>
        <v>7.011111111</v>
      </c>
      <c r="AJ3" s="987">
        <v>6.7</v>
      </c>
      <c r="AK3" s="709">
        <f>AVERAGE(AL3:AL7)</f>
        <v>7.515384615</v>
      </c>
      <c r="AL3" s="987">
        <v>7.923076923076923</v>
      </c>
      <c r="AM3" s="709">
        <f>AVERAGE(AN3:AN7)</f>
        <v>8.083333333</v>
      </c>
      <c r="AN3" s="987">
        <v>8.115384615384615</v>
      </c>
      <c r="AO3" s="709">
        <f>AVERAGE(AP3:AP7)</f>
        <v>6.498181818</v>
      </c>
      <c r="AP3" s="987">
        <v>6.7727272727272725</v>
      </c>
      <c r="AQ3" s="988">
        <f>AVERAGE(AR3:AR7)</f>
        <v>7.916666667</v>
      </c>
      <c r="AR3" s="992">
        <v>7.666666666666667</v>
      </c>
      <c r="AS3" s="988">
        <f>AVERAGE(AT3:AT7)</f>
        <v>7.14</v>
      </c>
      <c r="AT3" s="992">
        <v>6.833333333333333</v>
      </c>
      <c r="AU3" s="988">
        <f>AVERAGE(AV3:AV7)</f>
        <v>7.367222222</v>
      </c>
      <c r="AV3" s="993">
        <v>7.5</v>
      </c>
      <c r="AW3" s="994">
        <f>AVERAGE(AX3:AX7)</f>
        <v>7.333333333</v>
      </c>
      <c r="AX3" s="995">
        <v>7.444444444444445</v>
      </c>
      <c r="AY3" s="996">
        <f>AVERAGE(AZ3:AZ7)</f>
        <v>7.421212121</v>
      </c>
      <c r="AZ3" s="995">
        <v>7.333333333333333</v>
      </c>
      <c r="BA3" s="980"/>
    </row>
    <row r="4" ht="52.5" customHeight="1">
      <c r="A4" s="61"/>
      <c r="B4" s="985" t="s">
        <v>32</v>
      </c>
      <c r="C4" s="61"/>
      <c r="D4" s="986">
        <v>8.173913043478262</v>
      </c>
      <c r="E4" s="61"/>
      <c r="F4" s="987">
        <v>7.869565217391305</v>
      </c>
      <c r="G4" s="997"/>
      <c r="H4" s="989">
        <v>7.916666666666667</v>
      </c>
      <c r="I4" s="997"/>
      <c r="J4" s="989">
        <v>7.7</v>
      </c>
      <c r="K4" s="997"/>
      <c r="L4" s="989">
        <v>6.818181818181818</v>
      </c>
      <c r="M4" s="997"/>
      <c r="N4" s="989">
        <v>7.466666666666667</v>
      </c>
      <c r="O4" s="997"/>
      <c r="P4" s="989">
        <v>8.0</v>
      </c>
      <c r="Q4" s="997"/>
      <c r="R4" s="989">
        <v>7.0</v>
      </c>
      <c r="S4" s="997"/>
      <c r="T4" s="989">
        <v>7.846153846153846</v>
      </c>
      <c r="U4" s="61"/>
      <c r="V4" s="987">
        <v>7.533333333333333</v>
      </c>
      <c r="W4" s="61"/>
      <c r="X4" s="987">
        <v>6.7</v>
      </c>
      <c r="Y4" s="61"/>
      <c r="Z4" s="990">
        <v>8.0</v>
      </c>
      <c r="AA4" s="997"/>
      <c r="AB4" s="991">
        <v>7.352941176470588</v>
      </c>
      <c r="AC4" s="61"/>
      <c r="AD4" s="987">
        <v>7.823529411764706</v>
      </c>
      <c r="AE4" s="61"/>
      <c r="AF4" s="987">
        <v>6.75</v>
      </c>
      <c r="AG4" s="61"/>
      <c r="AH4" s="987">
        <v>7.285714285714286</v>
      </c>
      <c r="AI4" s="61"/>
      <c r="AJ4" s="987">
        <v>6.7</v>
      </c>
      <c r="AK4" s="61"/>
      <c r="AL4" s="987">
        <v>7.538461538461538</v>
      </c>
      <c r="AM4" s="61"/>
      <c r="AN4" s="987">
        <v>8.73076923076923</v>
      </c>
      <c r="AO4" s="61"/>
      <c r="AP4" s="987">
        <v>6.318181818181818</v>
      </c>
      <c r="AQ4" s="997"/>
      <c r="AR4" s="992">
        <v>8.0</v>
      </c>
      <c r="AS4" s="997"/>
      <c r="AT4" s="992">
        <v>6.833333333333333</v>
      </c>
      <c r="AU4" s="997"/>
      <c r="AV4" s="993">
        <v>7.2</v>
      </c>
      <c r="AW4" s="998"/>
      <c r="AX4" s="999">
        <v>7.111111111111111</v>
      </c>
      <c r="AY4" s="1000"/>
      <c r="AZ4" s="1001">
        <v>6.916666666666667</v>
      </c>
      <c r="BA4" s="980"/>
    </row>
    <row r="5" ht="52.5" customHeight="1">
      <c r="A5" s="61"/>
      <c r="B5" s="985" t="s">
        <v>163</v>
      </c>
      <c r="C5" s="61"/>
      <c r="D5" s="986">
        <v>7.6521739130434785</v>
      </c>
      <c r="E5" s="61"/>
      <c r="F5" s="987">
        <v>7.217391304347826</v>
      </c>
      <c r="G5" s="997"/>
      <c r="H5" s="989">
        <v>7.75</v>
      </c>
      <c r="I5" s="997"/>
      <c r="J5" s="989">
        <v>8.2</v>
      </c>
      <c r="K5" s="997"/>
      <c r="L5" s="989">
        <v>7.0</v>
      </c>
      <c r="M5" s="997"/>
      <c r="N5" s="989">
        <v>7.133333333333334</v>
      </c>
      <c r="O5" s="997"/>
      <c r="P5" s="989">
        <v>8.7</v>
      </c>
      <c r="Q5" s="997"/>
      <c r="R5" s="989">
        <v>7.0</v>
      </c>
      <c r="S5" s="997"/>
      <c r="T5" s="989">
        <v>8.384615384615385</v>
      </c>
      <c r="U5" s="61"/>
      <c r="V5" s="987">
        <v>7.133333333333334</v>
      </c>
      <c r="W5" s="61"/>
      <c r="X5" s="987">
        <v>7.363636363636363</v>
      </c>
      <c r="Y5" s="61"/>
      <c r="Z5" s="990">
        <v>7.933333333333334</v>
      </c>
      <c r="AA5" s="997"/>
      <c r="AB5" s="991">
        <v>6.705882352941177</v>
      </c>
      <c r="AC5" s="61"/>
      <c r="AD5" s="987">
        <v>6.911764705882353</v>
      </c>
      <c r="AE5" s="61"/>
      <c r="AF5" s="987">
        <v>6.166666666666667</v>
      </c>
      <c r="AG5" s="61"/>
      <c r="AH5" s="987">
        <v>6.214285714285714</v>
      </c>
      <c r="AI5" s="61"/>
      <c r="AJ5" s="987">
        <v>6.0</v>
      </c>
      <c r="AK5" s="61"/>
      <c r="AL5" s="987">
        <v>6.423076923076923</v>
      </c>
      <c r="AM5" s="61"/>
      <c r="AN5" s="987">
        <v>8.653846153846153</v>
      </c>
      <c r="AO5" s="61"/>
      <c r="AP5" s="987">
        <v>5.545454545454546</v>
      </c>
      <c r="AQ5" s="997"/>
      <c r="AR5" s="992">
        <v>6.833333333333333</v>
      </c>
      <c r="AS5" s="997"/>
      <c r="AT5" s="992">
        <v>6.25</v>
      </c>
      <c r="AU5" s="997"/>
      <c r="AV5" s="993">
        <v>6.9</v>
      </c>
      <c r="AW5" s="998"/>
      <c r="AX5" s="1002">
        <v>6.111111111111111</v>
      </c>
      <c r="AY5" s="1000"/>
      <c r="AZ5" s="1002">
        <v>6.333333333333333</v>
      </c>
      <c r="BA5" s="980"/>
    </row>
    <row r="6" ht="52.5" customHeight="1">
      <c r="A6" s="61"/>
      <c r="B6" s="985" t="s">
        <v>165</v>
      </c>
      <c r="C6" s="61"/>
      <c r="D6" s="986">
        <v>8.052631578947368</v>
      </c>
      <c r="E6" s="61"/>
      <c r="F6" s="987">
        <v>7.325</v>
      </c>
      <c r="G6" s="997"/>
      <c r="H6" s="989">
        <v>8.636363636363637</v>
      </c>
      <c r="I6" s="997"/>
      <c r="J6" s="989">
        <v>8.222222222222221</v>
      </c>
      <c r="K6" s="997"/>
      <c r="L6" s="989">
        <v>6.1</v>
      </c>
      <c r="M6" s="997"/>
      <c r="N6" s="989">
        <v>6.666666666666667</v>
      </c>
      <c r="O6" s="997"/>
      <c r="P6" s="989">
        <v>6.888888888888889</v>
      </c>
      <c r="Q6" s="997"/>
      <c r="R6" s="989">
        <v>6.571428571428571</v>
      </c>
      <c r="S6" s="997"/>
      <c r="T6" s="989">
        <v>8.615384615384615</v>
      </c>
      <c r="U6" s="61"/>
      <c r="V6" s="987">
        <v>7.357142857142857</v>
      </c>
      <c r="W6" s="61"/>
      <c r="X6" s="987">
        <v>6.9</v>
      </c>
      <c r="Y6" s="61"/>
      <c r="Z6" s="990">
        <v>6.571428571428571</v>
      </c>
      <c r="AA6" s="997"/>
      <c r="AB6" s="991">
        <v>6.9375</v>
      </c>
      <c r="AC6" s="61"/>
      <c r="AD6" s="987">
        <v>8.235294117647058</v>
      </c>
      <c r="AE6" s="61"/>
      <c r="AF6" s="987">
        <v>7.0</v>
      </c>
      <c r="AG6" s="61"/>
      <c r="AH6" s="987">
        <v>7.5</v>
      </c>
      <c r="AI6" s="61"/>
      <c r="AJ6" s="987">
        <v>8.1</v>
      </c>
      <c r="AK6" s="61"/>
      <c r="AL6" s="987">
        <v>7.615384615384615</v>
      </c>
      <c r="AM6" s="61"/>
      <c r="AN6" s="987">
        <v>6.916666666666667</v>
      </c>
      <c r="AO6" s="61"/>
      <c r="AP6" s="987">
        <v>7.4</v>
      </c>
      <c r="AQ6" s="997"/>
      <c r="AR6" s="992">
        <v>9.083333333333334</v>
      </c>
      <c r="AS6" s="997"/>
      <c r="AT6" s="992">
        <v>7.7</v>
      </c>
      <c r="AU6" s="997"/>
      <c r="AV6" s="993">
        <v>7.125</v>
      </c>
      <c r="AW6" s="998"/>
      <c r="AX6" s="1003">
        <v>7.666666666666667</v>
      </c>
      <c r="AY6" s="1000"/>
      <c r="AZ6" s="1004">
        <v>8.272727272727273</v>
      </c>
      <c r="BA6" s="980"/>
    </row>
    <row r="7" ht="52.5" customHeight="1">
      <c r="A7" s="69"/>
      <c r="B7" s="985" t="s">
        <v>166</v>
      </c>
      <c r="C7" s="69"/>
      <c r="D7" s="986">
        <v>8.0</v>
      </c>
      <c r="E7" s="69"/>
      <c r="F7" s="987">
        <v>7.8125</v>
      </c>
      <c r="G7" s="1005"/>
      <c r="H7" s="989">
        <v>8.333333333333334</v>
      </c>
      <c r="I7" s="1005"/>
      <c r="J7" s="989">
        <v>8.0</v>
      </c>
      <c r="K7" s="1005"/>
      <c r="L7" s="989">
        <v>7.636363636363637</v>
      </c>
      <c r="M7" s="1005"/>
      <c r="N7" s="989">
        <v>7.666666666666667</v>
      </c>
      <c r="O7" s="1005"/>
      <c r="P7" s="989">
        <v>8.4</v>
      </c>
      <c r="Q7" s="1005"/>
      <c r="R7" s="989">
        <v>7.571428571428571</v>
      </c>
      <c r="S7" s="1005"/>
      <c r="T7" s="989">
        <v>8.538461538461538</v>
      </c>
      <c r="U7" s="69"/>
      <c r="V7" s="987">
        <v>7.818181818181818</v>
      </c>
      <c r="W7" s="69"/>
      <c r="X7" s="987">
        <v>7.909090909090909</v>
      </c>
      <c r="Y7" s="69"/>
      <c r="Z7" s="990">
        <v>8.428571428571429</v>
      </c>
      <c r="AA7" s="1005"/>
      <c r="AB7" s="991">
        <v>8.0</v>
      </c>
      <c r="AC7" s="69"/>
      <c r="AD7" s="987">
        <v>7.970588235294118</v>
      </c>
      <c r="AE7" s="69"/>
      <c r="AF7" s="987">
        <v>7.636363636363637</v>
      </c>
      <c r="AG7" s="69"/>
      <c r="AH7" s="987">
        <v>7.884615384615385</v>
      </c>
      <c r="AI7" s="69"/>
      <c r="AJ7" s="987">
        <v>7.555555555555555</v>
      </c>
      <c r="AK7" s="69"/>
      <c r="AL7" s="987">
        <v>8.076923076923077</v>
      </c>
      <c r="AM7" s="69"/>
      <c r="AN7" s="987">
        <v>8.0</v>
      </c>
      <c r="AO7" s="69"/>
      <c r="AP7" s="987">
        <v>6.454545454545454</v>
      </c>
      <c r="AQ7" s="1005"/>
      <c r="AR7" s="992">
        <v>8.0</v>
      </c>
      <c r="AS7" s="1005"/>
      <c r="AT7" s="992">
        <v>8.083333333333334</v>
      </c>
      <c r="AU7" s="1005"/>
      <c r="AV7" s="993">
        <v>8.11111111111111</v>
      </c>
      <c r="AW7" s="1006"/>
      <c r="AX7" s="1004">
        <v>8.333333333333334</v>
      </c>
      <c r="AY7" s="315"/>
      <c r="AZ7" s="1004">
        <v>8.25</v>
      </c>
      <c r="BA7" s="980"/>
    </row>
    <row r="8" ht="52.5" customHeight="1">
      <c r="A8" s="1007" t="s">
        <v>35</v>
      </c>
      <c r="B8" s="1008" t="s">
        <v>167</v>
      </c>
      <c r="C8" s="709">
        <f>AVERAGE(D8:D17)</f>
        <v>8.301787126</v>
      </c>
      <c r="D8" s="986">
        <v>8.6</v>
      </c>
      <c r="E8" s="709">
        <f>AVERAGE(F8:F17)</f>
        <v>8.129592509</v>
      </c>
      <c r="F8" s="987">
        <v>8.285714285714286</v>
      </c>
      <c r="G8" s="988">
        <f>AVERAGE(H8:H17)</f>
        <v>8.516060606</v>
      </c>
      <c r="H8" s="989">
        <v>8.8</v>
      </c>
      <c r="I8" s="988">
        <f>AVERAGE(J8:J17)</f>
        <v>7.834166667</v>
      </c>
      <c r="J8" s="989">
        <v>8.2</v>
      </c>
      <c r="K8" s="988">
        <f>AVERAGE(L8:L17)</f>
        <v>7.227272727</v>
      </c>
      <c r="L8" s="989">
        <v>7.2727272727272725</v>
      </c>
      <c r="M8" s="988">
        <f>AVERAGE(N8:N17)</f>
        <v>7.841904762</v>
      </c>
      <c r="N8" s="989">
        <v>7.866666666666666</v>
      </c>
      <c r="O8" s="988">
        <f>AVERAGE(P8:P17)</f>
        <v>7.98</v>
      </c>
      <c r="P8" s="989">
        <v>8.4</v>
      </c>
      <c r="Q8" s="988">
        <f>AVERAGE(R8:R17)</f>
        <v>7.311904762</v>
      </c>
      <c r="R8" s="989">
        <v>7.571428571428571</v>
      </c>
      <c r="S8" s="988">
        <f>AVERAGE(T8:T17)</f>
        <v>8.104487179</v>
      </c>
      <c r="T8" s="989">
        <v>8.538461538461538</v>
      </c>
      <c r="U8" s="709">
        <f>AVERAGE(V8:V17)</f>
        <v>8.078571429</v>
      </c>
      <c r="V8" s="987">
        <v>8.0</v>
      </c>
      <c r="W8" s="709">
        <f>AVERAGE(X8:X17)</f>
        <v>7.358636364</v>
      </c>
      <c r="X8" s="987">
        <v>7.181818181818182</v>
      </c>
      <c r="Y8" s="709">
        <f>AVERAGE(Z8:Z17)</f>
        <v>8.26</v>
      </c>
      <c r="Z8" s="990">
        <v>8.6</v>
      </c>
      <c r="AA8" s="988">
        <f>AVERAGE(AB8:AB17)</f>
        <v>8.096691176</v>
      </c>
      <c r="AB8" s="991">
        <v>8.588235294117647</v>
      </c>
      <c r="AC8" s="709">
        <f>AVERAGE(AD8:AD17)</f>
        <v>7.988235294</v>
      </c>
      <c r="AD8" s="987">
        <v>8.058823529411764</v>
      </c>
      <c r="AE8" s="709">
        <f>AVERAGE(AF8:AF17)</f>
        <v>7.681893939</v>
      </c>
      <c r="AF8" s="987">
        <v>7.375</v>
      </c>
      <c r="AG8" s="709">
        <f>AVERAGE(AH8:AH17)</f>
        <v>7.632692308</v>
      </c>
      <c r="AH8" s="987">
        <v>7.714285714285714</v>
      </c>
      <c r="AI8" s="709">
        <f>AVERAGE(AJ8:AJ17)</f>
        <v>7.837222222</v>
      </c>
      <c r="AJ8" s="987">
        <v>8.35</v>
      </c>
      <c r="AK8" s="709">
        <f>AVERAGE(AL8:AL17)</f>
        <v>8.061538462</v>
      </c>
      <c r="AL8" s="987">
        <v>8.653846153846153</v>
      </c>
      <c r="AM8" s="709">
        <f>AVERAGE(AN8:AN17)</f>
        <v>7.901923077</v>
      </c>
      <c r="AN8" s="987">
        <v>8.346153846153847</v>
      </c>
      <c r="AO8" s="709">
        <f>AVERAGE(AP8:AP17)</f>
        <v>6.554545455</v>
      </c>
      <c r="AP8" s="987">
        <v>5.7727272727272725</v>
      </c>
      <c r="AQ8" s="988">
        <f>AVERAGE(AR8:AR17)</f>
        <v>8.242424242</v>
      </c>
      <c r="AR8" s="992">
        <v>8.545454545454545</v>
      </c>
      <c r="AS8" s="988">
        <f>AVERAGE(AT8:AT17)</f>
        <v>7.679545455</v>
      </c>
      <c r="AT8" s="992">
        <v>7.583333333333333</v>
      </c>
      <c r="AU8" s="988">
        <f>AVERAGE(AV8:AV17)</f>
        <v>7.86</v>
      </c>
      <c r="AV8" s="993">
        <v>8.2</v>
      </c>
      <c r="AW8" s="1009">
        <f>AVERAGE(AX8:AX17)</f>
        <v>7.933333333</v>
      </c>
      <c r="AX8" s="1003">
        <v>8.0</v>
      </c>
      <c r="AY8" s="1010">
        <f>AVERAGE(AZ8:AZ17)</f>
        <v>7.975</v>
      </c>
      <c r="AZ8" s="1011">
        <v>8.75</v>
      </c>
      <c r="BA8" s="980"/>
    </row>
    <row r="9" ht="52.5" customHeight="1">
      <c r="A9" s="61"/>
      <c r="B9" s="1008" t="s">
        <v>169</v>
      </c>
      <c r="C9" s="61"/>
      <c r="D9" s="986">
        <v>8.409090909090908</v>
      </c>
      <c r="E9" s="61"/>
      <c r="F9" s="987">
        <v>8.476190476190476</v>
      </c>
      <c r="G9" s="997"/>
      <c r="H9" s="989">
        <v>8.833333333333334</v>
      </c>
      <c r="I9" s="997"/>
      <c r="J9" s="989">
        <v>7.4</v>
      </c>
      <c r="K9" s="997"/>
      <c r="L9" s="989">
        <v>7.7272727272727275</v>
      </c>
      <c r="M9" s="997"/>
      <c r="N9" s="989">
        <v>7.733333333333333</v>
      </c>
      <c r="O9" s="997"/>
      <c r="P9" s="989">
        <v>8.7</v>
      </c>
      <c r="Q9" s="997"/>
      <c r="R9" s="989">
        <v>7.285714285714286</v>
      </c>
      <c r="S9" s="997"/>
      <c r="T9" s="989">
        <v>8.076923076923077</v>
      </c>
      <c r="U9" s="61"/>
      <c r="V9" s="987">
        <v>8.733333333333333</v>
      </c>
      <c r="W9" s="61"/>
      <c r="X9" s="987">
        <v>7.2727272727272725</v>
      </c>
      <c r="Y9" s="61"/>
      <c r="Z9" s="990">
        <v>8.466666666666667</v>
      </c>
      <c r="AA9" s="997"/>
      <c r="AB9" s="991">
        <v>8.470588235294118</v>
      </c>
      <c r="AC9" s="61"/>
      <c r="AD9" s="987">
        <v>7.705882352941177</v>
      </c>
      <c r="AE9" s="61"/>
      <c r="AF9" s="987">
        <v>7.545454545454546</v>
      </c>
      <c r="AG9" s="61"/>
      <c r="AH9" s="987">
        <v>7.461538461538462</v>
      </c>
      <c r="AI9" s="61"/>
      <c r="AJ9" s="987">
        <v>7.722222222222222</v>
      </c>
      <c r="AK9" s="61"/>
      <c r="AL9" s="987">
        <v>8.153846153846153</v>
      </c>
      <c r="AM9" s="61"/>
      <c r="AN9" s="987">
        <v>8.153846153846153</v>
      </c>
      <c r="AO9" s="61"/>
      <c r="AP9" s="987">
        <v>6.636363636363637</v>
      </c>
      <c r="AQ9" s="997"/>
      <c r="AR9" s="992">
        <v>9.0</v>
      </c>
      <c r="AS9" s="997"/>
      <c r="AT9" s="992">
        <v>7.5</v>
      </c>
      <c r="AU9" s="997"/>
      <c r="AV9" s="993">
        <v>7.7</v>
      </c>
      <c r="AW9" s="998"/>
      <c r="AX9" s="1004">
        <v>8.11111111111111</v>
      </c>
      <c r="AY9" s="1000"/>
      <c r="AZ9" s="999">
        <v>7.166666666666667</v>
      </c>
      <c r="BA9" s="980"/>
    </row>
    <row r="10" ht="52.5" customHeight="1">
      <c r="A10" s="61"/>
      <c r="B10" s="1008" t="s">
        <v>170</v>
      </c>
      <c r="C10" s="61"/>
      <c r="D10" s="986">
        <v>8.05</v>
      </c>
      <c r="E10" s="61"/>
      <c r="F10" s="987">
        <v>7.857142857142857</v>
      </c>
      <c r="G10" s="997"/>
      <c r="H10" s="989">
        <v>8.909090909090908</v>
      </c>
      <c r="I10" s="997"/>
      <c r="J10" s="989">
        <v>8.9</v>
      </c>
      <c r="K10" s="997"/>
      <c r="L10" s="989">
        <v>6.0</v>
      </c>
      <c r="M10" s="997"/>
      <c r="N10" s="989">
        <v>7.133333333333334</v>
      </c>
      <c r="O10" s="997"/>
      <c r="P10" s="989">
        <v>6.9</v>
      </c>
      <c r="Q10" s="997"/>
      <c r="R10" s="989">
        <v>6.333333333333333</v>
      </c>
      <c r="S10" s="997"/>
      <c r="T10" s="989">
        <v>8.384615384615385</v>
      </c>
      <c r="U10" s="61"/>
      <c r="V10" s="987">
        <v>8.133333333333333</v>
      </c>
      <c r="W10" s="61"/>
      <c r="X10" s="987">
        <v>7.136363636363637</v>
      </c>
      <c r="Y10" s="61"/>
      <c r="Z10" s="990">
        <v>8.0</v>
      </c>
      <c r="AA10" s="997"/>
      <c r="AB10" s="991">
        <v>8.147058823529411</v>
      </c>
      <c r="AC10" s="61"/>
      <c r="AD10" s="987">
        <v>8.058823529411764</v>
      </c>
      <c r="AE10" s="61"/>
      <c r="AF10" s="987">
        <v>7.7727272727272725</v>
      </c>
      <c r="AG10" s="61"/>
      <c r="AH10" s="987">
        <v>7.769230769230769</v>
      </c>
      <c r="AI10" s="61"/>
      <c r="AJ10" s="987">
        <v>8.25</v>
      </c>
      <c r="AK10" s="61"/>
      <c r="AL10" s="987">
        <v>7.3076923076923075</v>
      </c>
      <c r="AM10" s="61"/>
      <c r="AN10" s="987">
        <v>8.166666666666666</v>
      </c>
      <c r="AO10" s="61"/>
      <c r="AP10" s="987">
        <v>6.545454545454546</v>
      </c>
      <c r="AQ10" s="997"/>
      <c r="AR10" s="992">
        <v>8.909090909090908</v>
      </c>
      <c r="AS10" s="997"/>
      <c r="AT10" s="992">
        <v>7.833333333333333</v>
      </c>
      <c r="AU10" s="997"/>
      <c r="AV10" s="993">
        <v>8.2</v>
      </c>
      <c r="AW10" s="998"/>
      <c r="AX10" s="1003">
        <v>8.0</v>
      </c>
      <c r="AY10" s="1000"/>
      <c r="AZ10" s="1004">
        <v>8.25</v>
      </c>
      <c r="BA10" s="980"/>
    </row>
    <row r="11" ht="52.5" customHeight="1">
      <c r="A11" s="61"/>
      <c r="B11" s="1008" t="s">
        <v>47</v>
      </c>
      <c r="C11" s="61"/>
      <c r="D11" s="986">
        <v>8.782608695652174</v>
      </c>
      <c r="E11" s="61"/>
      <c r="F11" s="987">
        <v>8.347826086956522</v>
      </c>
      <c r="G11" s="997"/>
      <c r="H11" s="989">
        <v>8.583333333333334</v>
      </c>
      <c r="I11" s="997"/>
      <c r="J11" s="989">
        <v>7.3</v>
      </c>
      <c r="K11" s="997"/>
      <c r="L11" s="989">
        <v>7.545454545454546</v>
      </c>
      <c r="M11" s="997"/>
      <c r="N11" s="989">
        <v>8.0</v>
      </c>
      <c r="O11" s="997"/>
      <c r="P11" s="989">
        <v>7.5</v>
      </c>
      <c r="Q11" s="997"/>
      <c r="R11" s="989">
        <v>7.714285714285714</v>
      </c>
      <c r="S11" s="997"/>
      <c r="T11" s="989">
        <v>8.0</v>
      </c>
      <c r="U11" s="61"/>
      <c r="V11" s="987">
        <v>8.266666666666667</v>
      </c>
      <c r="W11" s="61"/>
      <c r="X11" s="987">
        <v>7.545454545454546</v>
      </c>
      <c r="Y11" s="61"/>
      <c r="Z11" s="990">
        <v>8.466666666666667</v>
      </c>
      <c r="AA11" s="997"/>
      <c r="AB11" s="991">
        <v>8.088235294117647</v>
      </c>
      <c r="AC11" s="61"/>
      <c r="AD11" s="987">
        <v>8.176470588235293</v>
      </c>
      <c r="AE11" s="61"/>
      <c r="AF11" s="987">
        <v>7.75</v>
      </c>
      <c r="AG11" s="61"/>
      <c r="AH11" s="987">
        <v>7.5</v>
      </c>
      <c r="AI11" s="61"/>
      <c r="AJ11" s="987">
        <v>8.0</v>
      </c>
      <c r="AK11" s="61"/>
      <c r="AL11" s="987">
        <v>8.153846153846153</v>
      </c>
      <c r="AM11" s="61"/>
      <c r="AN11" s="987">
        <v>8.0</v>
      </c>
      <c r="AO11" s="61"/>
      <c r="AP11" s="987">
        <v>7.136363636363637</v>
      </c>
      <c r="AQ11" s="997"/>
      <c r="AR11" s="992">
        <v>8.25</v>
      </c>
      <c r="AS11" s="997"/>
      <c r="AT11" s="992">
        <v>7.916666666666667</v>
      </c>
      <c r="AU11" s="997"/>
      <c r="AV11" s="993">
        <v>7.7</v>
      </c>
      <c r="AW11" s="998"/>
      <c r="AX11" s="1003">
        <v>7.777777777777778</v>
      </c>
      <c r="AY11" s="1000"/>
      <c r="AZ11" s="1004">
        <v>8.083333333333334</v>
      </c>
      <c r="BA11" s="980"/>
    </row>
    <row r="12" ht="52.5" customHeight="1">
      <c r="A12" s="61"/>
      <c r="B12" s="1008" t="s">
        <v>40</v>
      </c>
      <c r="C12" s="61"/>
      <c r="D12" s="986">
        <v>8.608695652173912</v>
      </c>
      <c r="E12" s="61"/>
      <c r="F12" s="987">
        <v>8.478260869565217</v>
      </c>
      <c r="G12" s="997"/>
      <c r="H12" s="989">
        <v>8.75</v>
      </c>
      <c r="I12" s="997"/>
      <c r="J12" s="989">
        <v>7.7</v>
      </c>
      <c r="K12" s="997"/>
      <c r="L12" s="989">
        <v>7.181818181818182</v>
      </c>
      <c r="M12" s="997"/>
      <c r="N12" s="989">
        <v>8.066666666666666</v>
      </c>
      <c r="O12" s="997"/>
      <c r="P12" s="989">
        <v>8.0</v>
      </c>
      <c r="Q12" s="997"/>
      <c r="R12" s="989">
        <v>7.571428571428571</v>
      </c>
      <c r="S12" s="997"/>
      <c r="T12" s="989">
        <v>8.384615384615385</v>
      </c>
      <c r="U12" s="61"/>
      <c r="V12" s="987">
        <v>8.466666666666667</v>
      </c>
      <c r="W12" s="61"/>
      <c r="X12" s="987">
        <v>7.7272727272727275</v>
      </c>
      <c r="Y12" s="61"/>
      <c r="Z12" s="990">
        <v>8.2</v>
      </c>
      <c r="AA12" s="997"/>
      <c r="AB12" s="991">
        <v>8.088235294117647</v>
      </c>
      <c r="AC12" s="61"/>
      <c r="AD12" s="987">
        <v>8.470588235294118</v>
      </c>
      <c r="AE12" s="61"/>
      <c r="AF12" s="987">
        <v>8.25</v>
      </c>
      <c r="AG12" s="61"/>
      <c r="AH12" s="987">
        <v>7.785714285714286</v>
      </c>
      <c r="AI12" s="61"/>
      <c r="AJ12" s="987">
        <v>8.05</v>
      </c>
      <c r="AK12" s="61"/>
      <c r="AL12" s="987">
        <v>8.115384615384615</v>
      </c>
      <c r="AM12" s="61"/>
      <c r="AN12" s="987">
        <v>7.923076923076923</v>
      </c>
      <c r="AO12" s="61"/>
      <c r="AP12" s="987">
        <v>6.090909090909091</v>
      </c>
      <c r="AQ12" s="997"/>
      <c r="AR12" s="992">
        <v>8.083333333333334</v>
      </c>
      <c r="AS12" s="997"/>
      <c r="AT12" s="992">
        <v>8.166666666666666</v>
      </c>
      <c r="AU12" s="997"/>
      <c r="AV12" s="993">
        <v>8.1</v>
      </c>
      <c r="AW12" s="998"/>
      <c r="AX12" s="1004">
        <v>8.333333333333334</v>
      </c>
      <c r="AY12" s="1000"/>
      <c r="AZ12" s="1004">
        <v>8.25</v>
      </c>
      <c r="BA12" s="980"/>
    </row>
    <row r="13" ht="52.5" customHeight="1">
      <c r="A13" s="61"/>
      <c r="B13" s="1008" t="s">
        <v>171</v>
      </c>
      <c r="C13" s="61"/>
      <c r="D13" s="986">
        <v>8.727272727272727</v>
      </c>
      <c r="E13" s="61"/>
      <c r="F13" s="987">
        <v>8.681818181818182</v>
      </c>
      <c r="G13" s="997"/>
      <c r="H13" s="989">
        <v>8.3</v>
      </c>
      <c r="I13" s="997"/>
      <c r="J13" s="989">
        <v>8.125</v>
      </c>
      <c r="K13" s="997"/>
      <c r="L13" s="989">
        <v>7.636363636363637</v>
      </c>
      <c r="M13" s="997"/>
      <c r="N13" s="989">
        <v>7.071428571428571</v>
      </c>
      <c r="O13" s="997"/>
      <c r="P13" s="989">
        <v>8.0</v>
      </c>
      <c r="Q13" s="997"/>
      <c r="R13" s="989">
        <v>7.571428571428571</v>
      </c>
      <c r="S13" s="997"/>
      <c r="T13" s="989">
        <v>7.75</v>
      </c>
      <c r="U13" s="61"/>
      <c r="V13" s="987">
        <v>7.785714285714286</v>
      </c>
      <c r="W13" s="61"/>
      <c r="X13" s="987">
        <v>7.5</v>
      </c>
      <c r="Y13" s="61"/>
      <c r="Z13" s="990">
        <v>8.133333333333333</v>
      </c>
      <c r="AA13" s="997"/>
      <c r="AB13" s="991">
        <v>8.029411764705882</v>
      </c>
      <c r="AC13" s="61"/>
      <c r="AD13" s="987">
        <v>8.117647058823529</v>
      </c>
      <c r="AE13" s="61"/>
      <c r="AF13" s="987">
        <v>8.05</v>
      </c>
      <c r="AG13" s="61"/>
      <c r="AH13" s="987">
        <v>7.846153846153846</v>
      </c>
      <c r="AI13" s="61"/>
      <c r="AJ13" s="987">
        <v>8.0</v>
      </c>
      <c r="AK13" s="61"/>
      <c r="AL13" s="987">
        <v>8.0</v>
      </c>
      <c r="AM13" s="61"/>
      <c r="AN13" s="987">
        <v>7.230769230769231</v>
      </c>
      <c r="AO13" s="61"/>
      <c r="AP13" s="987">
        <v>7.2727272727272725</v>
      </c>
      <c r="AQ13" s="997"/>
      <c r="AR13" s="992">
        <v>7.5</v>
      </c>
      <c r="AS13" s="997"/>
      <c r="AT13" s="992">
        <v>7.545454545454546</v>
      </c>
      <c r="AU13" s="997"/>
      <c r="AV13" s="993">
        <v>7.8</v>
      </c>
      <c r="AW13" s="998"/>
      <c r="AX13" s="1004">
        <v>8.11111111111111</v>
      </c>
      <c r="AY13" s="1000"/>
      <c r="AZ13" s="1004">
        <v>8.083333333333334</v>
      </c>
      <c r="BA13" s="980"/>
    </row>
    <row r="14" ht="52.5" customHeight="1">
      <c r="A14" s="61"/>
      <c r="B14" s="1008" t="s">
        <v>172</v>
      </c>
      <c r="C14" s="61"/>
      <c r="D14" s="986">
        <v>8.826086956521738</v>
      </c>
      <c r="E14" s="61"/>
      <c r="F14" s="987">
        <v>8.26086956521739</v>
      </c>
      <c r="G14" s="997"/>
      <c r="H14" s="989">
        <v>8.666666666666666</v>
      </c>
      <c r="I14" s="997"/>
      <c r="J14" s="989">
        <v>7.8</v>
      </c>
      <c r="K14" s="997"/>
      <c r="L14" s="989">
        <v>7.090909090909091</v>
      </c>
      <c r="M14" s="997"/>
      <c r="N14" s="989">
        <v>8.466666666666667</v>
      </c>
      <c r="O14" s="997"/>
      <c r="P14" s="989">
        <v>8.5</v>
      </c>
      <c r="Q14" s="997"/>
      <c r="R14" s="989">
        <v>7.428571428571429</v>
      </c>
      <c r="S14" s="997"/>
      <c r="T14" s="989">
        <v>8.076923076923077</v>
      </c>
      <c r="U14" s="61"/>
      <c r="V14" s="987">
        <v>8.0</v>
      </c>
      <c r="W14" s="61"/>
      <c r="X14" s="987">
        <v>7.545454545454546</v>
      </c>
      <c r="Y14" s="61"/>
      <c r="Z14" s="990">
        <v>8.4</v>
      </c>
      <c r="AA14" s="997"/>
      <c r="AB14" s="991">
        <v>8.117647058823529</v>
      </c>
      <c r="AC14" s="61"/>
      <c r="AD14" s="987">
        <v>8.352941176470589</v>
      </c>
      <c r="AE14" s="61"/>
      <c r="AF14" s="987">
        <v>8.181818181818182</v>
      </c>
      <c r="AG14" s="61"/>
      <c r="AH14" s="987">
        <v>8.0</v>
      </c>
      <c r="AI14" s="61"/>
      <c r="AJ14" s="987">
        <v>8.0</v>
      </c>
      <c r="AK14" s="61"/>
      <c r="AL14" s="987">
        <v>8.153846153846153</v>
      </c>
      <c r="AM14" s="61"/>
      <c r="AN14" s="987">
        <v>7.230769230769231</v>
      </c>
      <c r="AO14" s="61"/>
      <c r="AP14" s="987">
        <v>7.0</v>
      </c>
      <c r="AQ14" s="997"/>
      <c r="AR14" s="992">
        <v>8.25</v>
      </c>
      <c r="AS14" s="997"/>
      <c r="AT14" s="992">
        <v>8.083333333333334</v>
      </c>
      <c r="AU14" s="997"/>
      <c r="AV14" s="993">
        <v>8.2</v>
      </c>
      <c r="AW14" s="998"/>
      <c r="AX14" s="1004">
        <v>8.11111111111111</v>
      </c>
      <c r="AY14" s="1000"/>
      <c r="AZ14" s="1004">
        <v>8.166666666666666</v>
      </c>
      <c r="BA14" s="980"/>
    </row>
    <row r="15" ht="52.5" customHeight="1">
      <c r="A15" s="61"/>
      <c r="B15" s="1008" t="s">
        <v>173</v>
      </c>
      <c r="C15" s="61"/>
      <c r="D15" s="986">
        <v>8.26086956521739</v>
      </c>
      <c r="E15" s="61"/>
      <c r="F15" s="987">
        <v>8.386363636363637</v>
      </c>
      <c r="G15" s="997"/>
      <c r="H15" s="989">
        <v>8.5</v>
      </c>
      <c r="I15" s="997"/>
      <c r="J15" s="989">
        <v>7.333333333333333</v>
      </c>
      <c r="K15" s="997"/>
      <c r="L15" s="989">
        <v>7.7272727272727275</v>
      </c>
      <c r="M15" s="997"/>
      <c r="N15" s="989">
        <v>8.214285714285714</v>
      </c>
      <c r="O15" s="997"/>
      <c r="P15" s="989">
        <v>8.3</v>
      </c>
      <c r="Q15" s="997"/>
      <c r="R15" s="989">
        <v>7.142857142857143</v>
      </c>
      <c r="S15" s="997"/>
      <c r="T15" s="989">
        <v>7.75</v>
      </c>
      <c r="U15" s="61"/>
      <c r="V15" s="987">
        <v>8.4</v>
      </c>
      <c r="W15" s="61"/>
      <c r="X15" s="987">
        <v>6.863636363636363</v>
      </c>
      <c r="Y15" s="61"/>
      <c r="Z15" s="990">
        <v>8.266666666666667</v>
      </c>
      <c r="AA15" s="997"/>
      <c r="AB15" s="991">
        <v>7.875</v>
      </c>
      <c r="AC15" s="61"/>
      <c r="AD15" s="987">
        <v>7.352941176470588</v>
      </c>
      <c r="AE15" s="61"/>
      <c r="AF15" s="987">
        <v>6.666666666666667</v>
      </c>
      <c r="AG15" s="61"/>
      <c r="AH15" s="987">
        <v>7.214285714285714</v>
      </c>
      <c r="AI15" s="61"/>
      <c r="AJ15" s="987">
        <v>6.722222222222222</v>
      </c>
      <c r="AK15" s="61"/>
      <c r="AL15" s="987">
        <v>8.076923076923077</v>
      </c>
      <c r="AM15" s="61"/>
      <c r="AN15" s="987">
        <v>8.384615384615385</v>
      </c>
      <c r="AO15" s="61"/>
      <c r="AP15" s="987">
        <v>6.181818181818182</v>
      </c>
      <c r="AQ15" s="997"/>
      <c r="AR15" s="992">
        <v>8.5</v>
      </c>
      <c r="AS15" s="997"/>
      <c r="AT15" s="992">
        <v>6.666666666666667</v>
      </c>
      <c r="AU15" s="997"/>
      <c r="AV15" s="993">
        <v>7.2</v>
      </c>
      <c r="AW15" s="998"/>
      <c r="AX15" s="999">
        <v>7.222222222222222</v>
      </c>
      <c r="AY15" s="1000"/>
      <c r="AZ15" s="999">
        <v>7.166666666666667</v>
      </c>
      <c r="BA15" s="980"/>
    </row>
    <row r="16" ht="52.5" customHeight="1">
      <c r="A16" s="61"/>
      <c r="B16" s="1008" t="s">
        <v>38</v>
      </c>
      <c r="C16" s="61"/>
      <c r="D16" s="986">
        <v>7.181818181818182</v>
      </c>
      <c r="E16" s="61"/>
      <c r="F16" s="987">
        <v>7.043478260869565</v>
      </c>
      <c r="G16" s="997"/>
      <c r="H16" s="989">
        <v>7.818181818181818</v>
      </c>
      <c r="I16" s="997"/>
      <c r="J16" s="989">
        <v>7.333333333333333</v>
      </c>
      <c r="K16" s="997"/>
      <c r="L16" s="989">
        <v>7.090909090909091</v>
      </c>
      <c r="M16" s="997"/>
      <c r="N16" s="989">
        <v>7.8</v>
      </c>
      <c r="O16" s="997"/>
      <c r="P16" s="989">
        <v>7.9</v>
      </c>
      <c r="Q16" s="997"/>
      <c r="R16" s="989">
        <v>6.833333333333333</v>
      </c>
      <c r="S16" s="997"/>
      <c r="T16" s="989">
        <v>7.75</v>
      </c>
      <c r="U16" s="61"/>
      <c r="V16" s="987">
        <v>7.333333333333333</v>
      </c>
      <c r="W16" s="61"/>
      <c r="X16" s="987">
        <v>7.363636363636363</v>
      </c>
      <c r="Y16" s="61"/>
      <c r="Z16" s="990">
        <v>8.0</v>
      </c>
      <c r="AA16" s="997"/>
      <c r="AB16" s="991">
        <v>7.6875</v>
      </c>
      <c r="AC16" s="61"/>
      <c r="AD16" s="987">
        <v>7.705882352941177</v>
      </c>
      <c r="AE16" s="61"/>
      <c r="AF16" s="987">
        <v>7.545454545454546</v>
      </c>
      <c r="AG16" s="61"/>
      <c r="AH16" s="987">
        <v>7.428571428571429</v>
      </c>
      <c r="AI16" s="61"/>
      <c r="AJ16" s="987">
        <v>7.444444444444445</v>
      </c>
      <c r="AK16" s="61"/>
      <c r="AL16" s="987">
        <v>7.769230769230769</v>
      </c>
      <c r="AM16" s="61"/>
      <c r="AN16" s="987">
        <v>7.916666666666667</v>
      </c>
      <c r="AO16" s="61"/>
      <c r="AP16" s="987">
        <v>6.363636363636363</v>
      </c>
      <c r="AQ16" s="997"/>
      <c r="AR16" s="992">
        <v>7.75</v>
      </c>
      <c r="AS16" s="997"/>
      <c r="AT16" s="992">
        <v>7.166666666666667</v>
      </c>
      <c r="AU16" s="997"/>
      <c r="AV16" s="993">
        <v>7.5</v>
      </c>
      <c r="AW16" s="998"/>
      <c r="AX16" s="1003">
        <v>7.666666666666667</v>
      </c>
      <c r="AY16" s="1000"/>
      <c r="AZ16" s="1003">
        <v>7.583333333333333</v>
      </c>
      <c r="BA16" s="980"/>
    </row>
    <row r="17" ht="52.5" customHeight="1">
      <c r="A17" s="69"/>
      <c r="B17" s="1008" t="s">
        <v>174</v>
      </c>
      <c r="C17" s="69"/>
      <c r="D17" s="986">
        <v>7.571428571428571</v>
      </c>
      <c r="E17" s="69"/>
      <c r="F17" s="987">
        <v>7.478260869565218</v>
      </c>
      <c r="G17" s="1005"/>
      <c r="H17" s="989">
        <v>8.0</v>
      </c>
      <c r="I17" s="1005"/>
      <c r="J17" s="989">
        <v>8.25</v>
      </c>
      <c r="K17" s="1005"/>
      <c r="L17" s="989">
        <v>7.0</v>
      </c>
      <c r="M17" s="1005"/>
      <c r="N17" s="989">
        <v>8.066666666666666</v>
      </c>
      <c r="O17" s="1005"/>
      <c r="P17" s="989">
        <v>7.6</v>
      </c>
      <c r="Q17" s="1005"/>
      <c r="R17" s="989">
        <v>7.666666666666667</v>
      </c>
      <c r="S17" s="1005"/>
      <c r="T17" s="989">
        <v>8.333333333333334</v>
      </c>
      <c r="U17" s="69"/>
      <c r="V17" s="987">
        <v>7.666666666666667</v>
      </c>
      <c r="W17" s="69"/>
      <c r="X17" s="987">
        <v>7.45</v>
      </c>
      <c r="Y17" s="69"/>
      <c r="Z17" s="990">
        <v>8.066666666666666</v>
      </c>
      <c r="AA17" s="1005"/>
      <c r="AB17" s="991">
        <v>7.875</v>
      </c>
      <c r="AC17" s="69"/>
      <c r="AD17" s="987">
        <v>7.882352941176471</v>
      </c>
      <c r="AE17" s="69"/>
      <c r="AF17" s="987">
        <v>7.681818181818182</v>
      </c>
      <c r="AG17" s="69"/>
      <c r="AH17" s="987">
        <v>7.607142857142857</v>
      </c>
      <c r="AI17" s="69"/>
      <c r="AJ17" s="987">
        <v>7.833333333333333</v>
      </c>
      <c r="AK17" s="69"/>
      <c r="AL17" s="987">
        <v>8.23076923076923</v>
      </c>
      <c r="AM17" s="69"/>
      <c r="AN17" s="987">
        <v>7.666666666666667</v>
      </c>
      <c r="AO17" s="69"/>
      <c r="AP17" s="987">
        <v>6.545454545454546</v>
      </c>
      <c r="AQ17" s="1005"/>
      <c r="AR17" s="992">
        <v>7.636363636363637</v>
      </c>
      <c r="AS17" s="1005"/>
      <c r="AT17" s="992">
        <v>8.333333333333334</v>
      </c>
      <c r="AU17" s="1005"/>
      <c r="AV17" s="993">
        <v>8.0</v>
      </c>
      <c r="AW17" s="1006"/>
      <c r="AX17" s="1003">
        <v>8.0</v>
      </c>
      <c r="AY17" s="315"/>
      <c r="AZ17" s="1004">
        <v>8.25</v>
      </c>
      <c r="BA17" s="980"/>
    </row>
    <row r="18" ht="52.5" customHeight="1">
      <c r="A18" s="1012" t="s">
        <v>42</v>
      </c>
      <c r="B18" s="1013" t="s">
        <v>41</v>
      </c>
      <c r="C18" s="1014">
        <f>AVERAGE(D18:D22)</f>
        <v>8.354765042</v>
      </c>
      <c r="D18" s="986">
        <v>8.782608695652174</v>
      </c>
      <c r="E18" s="709">
        <f>AVERAGE(F18:F22)</f>
        <v>8.253830228</v>
      </c>
      <c r="F18" s="987">
        <v>8.521739130434783</v>
      </c>
      <c r="G18" s="988">
        <f>AVERAGE(H18:H22)</f>
        <v>8.28</v>
      </c>
      <c r="H18" s="989">
        <v>8.916666666666666</v>
      </c>
      <c r="I18" s="988">
        <f>AVERAGE(J18:J22)</f>
        <v>7.44</v>
      </c>
      <c r="J18" s="989">
        <v>7.8</v>
      </c>
      <c r="K18" s="988">
        <f>AVERAGE(L18:L22)</f>
        <v>7.290909091</v>
      </c>
      <c r="L18" s="989">
        <v>7.090909090909091</v>
      </c>
      <c r="M18" s="988">
        <f>AVERAGE(N18:N22)</f>
        <v>7.713333333</v>
      </c>
      <c r="N18" s="989">
        <v>8.0</v>
      </c>
      <c r="O18" s="988">
        <f>AVERAGE(P18:P22)</f>
        <v>7.86</v>
      </c>
      <c r="P18" s="989">
        <v>8.0</v>
      </c>
      <c r="Q18" s="988">
        <f>AVERAGE(R18:R22)</f>
        <v>6.828571429</v>
      </c>
      <c r="R18" s="989">
        <v>6.714285714285714</v>
      </c>
      <c r="S18" s="988">
        <f>AVERAGE(T18:T22)</f>
        <v>7.603846154</v>
      </c>
      <c r="T18" s="989">
        <v>8.692307692307692</v>
      </c>
      <c r="U18" s="709">
        <f>AVERAGE(V18:V22)</f>
        <v>8.036190476</v>
      </c>
      <c r="V18" s="987">
        <v>8.2</v>
      </c>
      <c r="W18" s="709">
        <f>AVERAGE(X18:X22)</f>
        <v>7.076363636</v>
      </c>
      <c r="X18" s="987">
        <v>6.818181818181818</v>
      </c>
      <c r="Y18" s="709">
        <f>AVERAGE(Z18:Z22)</f>
        <v>8.26</v>
      </c>
      <c r="Z18" s="990">
        <v>8.766666666666667</v>
      </c>
      <c r="AA18" s="988">
        <f>AVERAGE(AB18:AB22)</f>
        <v>7.897401961</v>
      </c>
      <c r="AB18" s="991">
        <v>8.352941176470589</v>
      </c>
      <c r="AC18" s="709">
        <f>AVERAGE(AD18:AD22)</f>
        <v>7.729411765</v>
      </c>
      <c r="AD18" s="987">
        <v>8.294117647058824</v>
      </c>
      <c r="AE18" s="709">
        <f>AVERAGE(AF18:AF22)</f>
        <v>6.992727273</v>
      </c>
      <c r="AF18" s="987">
        <v>7.166666666666667</v>
      </c>
      <c r="AG18" s="709">
        <f>AVERAGE(AH18:AH22)</f>
        <v>7.252747253</v>
      </c>
      <c r="AH18" s="987">
        <v>7.5</v>
      </c>
      <c r="AI18" s="709">
        <f>AVERAGE(AJ18:AJ22)</f>
        <v>7.06</v>
      </c>
      <c r="AJ18" s="987">
        <v>7.4</v>
      </c>
      <c r="AK18" s="709">
        <f>AVERAGE(AL18:AL22)</f>
        <v>8.046153846</v>
      </c>
      <c r="AL18" s="987">
        <v>8.23076923076923</v>
      </c>
      <c r="AM18" s="709">
        <f>AVERAGE(AN18:AN22)</f>
        <v>7.844871795</v>
      </c>
      <c r="AN18" s="987">
        <v>8.0</v>
      </c>
      <c r="AO18" s="709">
        <f>AVERAGE(AP18:AP22)</f>
        <v>6.163636364</v>
      </c>
      <c r="AP18" s="987">
        <v>6.181818181818182</v>
      </c>
      <c r="AQ18" s="988">
        <f>AVERAGE(AR18:AR22)</f>
        <v>8.283333333</v>
      </c>
      <c r="AR18" s="992">
        <v>8.666666666666666</v>
      </c>
      <c r="AS18" s="988">
        <f>AVERAGE(AT18:AT22)</f>
        <v>7</v>
      </c>
      <c r="AT18" s="992">
        <v>7.083333333333333</v>
      </c>
      <c r="AU18" s="988">
        <f>AVERAGE(AV18:AV22)</f>
        <v>7.64</v>
      </c>
      <c r="AV18" s="993">
        <v>8.0</v>
      </c>
      <c r="AW18" s="1009">
        <f>AVERAGE(AX18:AX22)</f>
        <v>7.6</v>
      </c>
      <c r="AX18" s="1003">
        <v>7.888888888888889</v>
      </c>
      <c r="AY18" s="1010">
        <f>AVERAGE(AZ18:AZ22)</f>
        <v>7.7</v>
      </c>
      <c r="AZ18" s="1004">
        <v>8.416666666666666</v>
      </c>
      <c r="BA18" s="980"/>
    </row>
    <row r="19" ht="52.5" customHeight="1">
      <c r="A19" s="61"/>
      <c r="B19" s="1013" t="s">
        <v>176</v>
      </c>
      <c r="C19" s="61"/>
      <c r="D19" s="986">
        <v>8.304347826086957</v>
      </c>
      <c r="E19" s="61"/>
      <c r="F19" s="987">
        <v>8.08695652173913</v>
      </c>
      <c r="G19" s="997"/>
      <c r="H19" s="989">
        <v>8.083333333333334</v>
      </c>
      <c r="I19" s="997"/>
      <c r="J19" s="989">
        <v>7.5</v>
      </c>
      <c r="K19" s="997"/>
      <c r="L19" s="989">
        <v>7.454545454545454</v>
      </c>
      <c r="M19" s="997"/>
      <c r="N19" s="989">
        <v>7.933333333333334</v>
      </c>
      <c r="O19" s="997"/>
      <c r="P19" s="989">
        <v>7.6</v>
      </c>
      <c r="Q19" s="997"/>
      <c r="R19" s="989">
        <v>6.714285714285714</v>
      </c>
      <c r="S19" s="997"/>
      <c r="T19" s="989">
        <v>7.538461538461538</v>
      </c>
      <c r="U19" s="61"/>
      <c r="V19" s="987">
        <v>8.066666666666666</v>
      </c>
      <c r="W19" s="61"/>
      <c r="X19" s="987">
        <v>7.454545454545454</v>
      </c>
      <c r="Y19" s="61"/>
      <c r="Z19" s="990">
        <v>8.266666666666667</v>
      </c>
      <c r="AA19" s="997"/>
      <c r="AB19" s="991">
        <v>8.058823529411764</v>
      </c>
      <c r="AC19" s="61"/>
      <c r="AD19" s="987">
        <v>7.882352941176471</v>
      </c>
      <c r="AE19" s="61"/>
      <c r="AF19" s="987">
        <v>7.363636363636363</v>
      </c>
      <c r="AG19" s="61"/>
      <c r="AH19" s="987">
        <v>7.5</v>
      </c>
      <c r="AI19" s="61"/>
      <c r="AJ19" s="987">
        <v>7.055555555555555</v>
      </c>
      <c r="AK19" s="61"/>
      <c r="AL19" s="987">
        <v>8.153846153846153</v>
      </c>
      <c r="AM19" s="61"/>
      <c r="AN19" s="987">
        <v>7.384615384615385</v>
      </c>
      <c r="AO19" s="61"/>
      <c r="AP19" s="987">
        <v>6.2727272727272725</v>
      </c>
      <c r="AQ19" s="997"/>
      <c r="AR19" s="992">
        <v>8.083333333333334</v>
      </c>
      <c r="AS19" s="997"/>
      <c r="AT19" s="992">
        <v>7.166666666666667</v>
      </c>
      <c r="AU19" s="997"/>
      <c r="AV19" s="993">
        <v>7.5</v>
      </c>
      <c r="AW19" s="998"/>
      <c r="AX19" s="1003">
        <v>7.666666666666667</v>
      </c>
      <c r="AY19" s="1000"/>
      <c r="AZ19" s="1003">
        <v>7.75</v>
      </c>
      <c r="BA19" s="980"/>
    </row>
    <row r="20" ht="52.5" customHeight="1">
      <c r="A20" s="61"/>
      <c r="B20" s="1013" t="s">
        <v>175</v>
      </c>
      <c r="C20" s="61"/>
      <c r="D20" s="986">
        <v>8.227272727272727</v>
      </c>
      <c r="E20" s="61"/>
      <c r="F20" s="987">
        <v>8.0</v>
      </c>
      <c r="G20" s="997"/>
      <c r="H20" s="989">
        <v>7.833333333333333</v>
      </c>
      <c r="I20" s="997"/>
      <c r="J20" s="989">
        <v>6.6</v>
      </c>
      <c r="K20" s="997"/>
      <c r="L20" s="989">
        <v>7.2727272727272725</v>
      </c>
      <c r="M20" s="997"/>
      <c r="N20" s="989">
        <v>7.266666666666667</v>
      </c>
      <c r="O20" s="997"/>
      <c r="P20" s="989">
        <v>7.8</v>
      </c>
      <c r="Q20" s="997"/>
      <c r="R20" s="989">
        <v>7.142857142857143</v>
      </c>
      <c r="S20" s="997"/>
      <c r="T20" s="989">
        <v>6.846153846153846</v>
      </c>
      <c r="U20" s="61"/>
      <c r="V20" s="987">
        <v>8.2</v>
      </c>
      <c r="W20" s="61"/>
      <c r="X20" s="987">
        <v>6.636363636363637</v>
      </c>
      <c r="Y20" s="61"/>
      <c r="Z20" s="990">
        <v>8.066666666666666</v>
      </c>
      <c r="AA20" s="997"/>
      <c r="AB20" s="991">
        <v>7.529411764705882</v>
      </c>
      <c r="AC20" s="61"/>
      <c r="AD20" s="987">
        <v>7.294117647058823</v>
      </c>
      <c r="AE20" s="61"/>
      <c r="AF20" s="987">
        <v>6.333333333333333</v>
      </c>
      <c r="AG20" s="61"/>
      <c r="AH20" s="987">
        <v>7.071428571428571</v>
      </c>
      <c r="AI20" s="61"/>
      <c r="AJ20" s="987">
        <v>6.4</v>
      </c>
      <c r="AK20" s="61"/>
      <c r="AL20" s="987">
        <v>7.6923076923076925</v>
      </c>
      <c r="AM20" s="61"/>
      <c r="AN20" s="987">
        <v>8.307692307692308</v>
      </c>
      <c r="AO20" s="61"/>
      <c r="AP20" s="987">
        <v>6.090909090909091</v>
      </c>
      <c r="AQ20" s="997"/>
      <c r="AR20" s="992">
        <v>8.083333333333334</v>
      </c>
      <c r="AS20" s="997"/>
      <c r="AT20" s="992">
        <v>6.666666666666667</v>
      </c>
      <c r="AU20" s="997"/>
      <c r="AV20" s="993">
        <v>7.4</v>
      </c>
      <c r="AW20" s="998"/>
      <c r="AX20" s="999">
        <v>7.111111111111111</v>
      </c>
      <c r="AY20" s="1000"/>
      <c r="AZ20" s="1001">
        <v>6.916666666666667</v>
      </c>
      <c r="BA20" s="980"/>
    </row>
    <row r="21" ht="52.5" customHeight="1">
      <c r="A21" s="61"/>
      <c r="B21" s="1013" t="s">
        <v>45</v>
      </c>
      <c r="C21" s="61"/>
      <c r="D21" s="986">
        <v>7.777777777777778</v>
      </c>
      <c r="E21" s="61"/>
      <c r="F21" s="987">
        <v>8.095238095238095</v>
      </c>
      <c r="G21" s="997"/>
      <c r="H21" s="989">
        <v>8.4</v>
      </c>
      <c r="I21" s="997"/>
      <c r="J21" s="989">
        <v>7.2</v>
      </c>
      <c r="K21" s="997"/>
      <c r="L21" s="989">
        <v>7.181818181818182</v>
      </c>
      <c r="M21" s="997"/>
      <c r="N21" s="989">
        <v>7.5</v>
      </c>
      <c r="O21" s="997"/>
      <c r="P21" s="989">
        <v>8.0</v>
      </c>
      <c r="Q21" s="997"/>
      <c r="R21" s="989">
        <v>6.571428571428571</v>
      </c>
      <c r="S21" s="997"/>
      <c r="T21" s="989">
        <v>7.25</v>
      </c>
      <c r="U21" s="61"/>
      <c r="V21" s="987">
        <v>7.642857142857143</v>
      </c>
      <c r="W21" s="61"/>
      <c r="X21" s="987">
        <v>7.2</v>
      </c>
      <c r="Y21" s="61"/>
      <c r="Z21" s="990">
        <v>7.8</v>
      </c>
      <c r="AA21" s="997"/>
      <c r="AB21" s="991">
        <v>7.733333333333333</v>
      </c>
      <c r="AC21" s="61"/>
      <c r="AD21" s="987">
        <v>7.411764705882353</v>
      </c>
      <c r="AE21" s="61"/>
      <c r="AF21" s="987">
        <v>7.0</v>
      </c>
      <c r="AG21" s="61"/>
      <c r="AH21" s="987">
        <v>7.115384615384615</v>
      </c>
      <c r="AI21" s="61"/>
      <c r="AJ21" s="987">
        <v>7.222222222222222</v>
      </c>
      <c r="AK21" s="61"/>
      <c r="AL21" s="987">
        <v>7.846153846153846</v>
      </c>
      <c r="AM21" s="61"/>
      <c r="AN21" s="987">
        <v>7.916666666666667</v>
      </c>
      <c r="AO21" s="61"/>
      <c r="AP21" s="987">
        <v>6.090909090909091</v>
      </c>
      <c r="AQ21" s="997"/>
      <c r="AR21" s="992">
        <v>8.166666666666666</v>
      </c>
      <c r="AS21" s="997"/>
      <c r="AT21" s="992">
        <v>6.833333333333333</v>
      </c>
      <c r="AU21" s="997"/>
      <c r="AV21" s="993">
        <v>7.3</v>
      </c>
      <c r="AW21" s="998"/>
      <c r="AX21" s="999">
        <v>7.111111111111111</v>
      </c>
      <c r="AY21" s="1000"/>
      <c r="AZ21" s="999">
        <v>7.25</v>
      </c>
      <c r="BA21" s="980"/>
    </row>
    <row r="22" ht="52.5" customHeight="1">
      <c r="A22" s="69"/>
      <c r="B22" s="1013" t="s">
        <v>177</v>
      </c>
      <c r="C22" s="61"/>
      <c r="D22" s="986">
        <v>8.681818181818182</v>
      </c>
      <c r="E22" s="69"/>
      <c r="F22" s="987">
        <v>8.565217391304348</v>
      </c>
      <c r="G22" s="1005"/>
      <c r="H22" s="989">
        <v>8.166666666666666</v>
      </c>
      <c r="I22" s="1005"/>
      <c r="J22" s="989">
        <v>8.1</v>
      </c>
      <c r="K22" s="1005"/>
      <c r="L22" s="989">
        <v>7.454545454545454</v>
      </c>
      <c r="M22" s="1005"/>
      <c r="N22" s="989">
        <v>7.866666666666666</v>
      </c>
      <c r="O22" s="1005"/>
      <c r="P22" s="989">
        <v>7.9</v>
      </c>
      <c r="Q22" s="1005"/>
      <c r="R22" s="989">
        <v>7.0</v>
      </c>
      <c r="S22" s="1005"/>
      <c r="T22" s="989">
        <v>7.6923076923076925</v>
      </c>
      <c r="U22" s="69"/>
      <c r="V22" s="987">
        <v>8.071428571428571</v>
      </c>
      <c r="W22" s="69"/>
      <c r="X22" s="987">
        <v>7.2727272727272725</v>
      </c>
      <c r="Y22" s="69"/>
      <c r="Z22" s="990">
        <v>8.4</v>
      </c>
      <c r="AA22" s="1005"/>
      <c r="AB22" s="991">
        <v>7.8125</v>
      </c>
      <c r="AC22" s="69"/>
      <c r="AD22" s="987">
        <v>7.764705882352941</v>
      </c>
      <c r="AE22" s="69"/>
      <c r="AF22" s="987">
        <v>7.1</v>
      </c>
      <c r="AG22" s="69"/>
      <c r="AH22" s="987">
        <v>7.076923076923077</v>
      </c>
      <c r="AI22" s="69"/>
      <c r="AJ22" s="987">
        <v>7.222222222222222</v>
      </c>
      <c r="AK22" s="69"/>
      <c r="AL22" s="987">
        <v>8.307692307692308</v>
      </c>
      <c r="AM22" s="69"/>
      <c r="AN22" s="987">
        <v>7.615384615384615</v>
      </c>
      <c r="AO22" s="69"/>
      <c r="AP22" s="987">
        <v>6.181818181818182</v>
      </c>
      <c r="AQ22" s="1005"/>
      <c r="AR22" s="992">
        <v>8.416666666666666</v>
      </c>
      <c r="AS22" s="1005"/>
      <c r="AT22" s="992">
        <v>7.25</v>
      </c>
      <c r="AU22" s="1005"/>
      <c r="AV22" s="993">
        <v>8.0</v>
      </c>
      <c r="AW22" s="1006"/>
      <c r="AX22" s="1004">
        <v>8.222222222222221</v>
      </c>
      <c r="AY22" s="315"/>
      <c r="AZ22" s="1004">
        <v>8.166666666666666</v>
      </c>
      <c r="BA22" s="980"/>
    </row>
    <row r="23" ht="52.5" customHeight="1">
      <c r="A23" s="1015" t="s">
        <v>49</v>
      </c>
      <c r="B23" s="1016" t="s">
        <v>179</v>
      </c>
      <c r="C23" s="1014">
        <f>AVERAGE(D23:D27)</f>
        <v>7.965217391</v>
      </c>
      <c r="D23" s="986">
        <v>7.782608695652174</v>
      </c>
      <c r="E23" s="709">
        <f>AVERAGE(F23:F27)</f>
        <v>8.695652174</v>
      </c>
      <c r="F23" s="987">
        <v>8.782608695652174</v>
      </c>
      <c r="G23" s="988">
        <f>AVERAGE(H23:H27)</f>
        <v>7.783333333</v>
      </c>
      <c r="H23" s="989">
        <v>7.666666666666667</v>
      </c>
      <c r="I23" s="988">
        <f>AVERAGE(J23:J27)</f>
        <v>8.58</v>
      </c>
      <c r="J23" s="989">
        <v>8.9</v>
      </c>
      <c r="K23" s="988">
        <f>AVERAGE(L23:L27)</f>
        <v>8.290909091</v>
      </c>
      <c r="L23" s="989">
        <v>8.545454545454545</v>
      </c>
      <c r="M23" s="988">
        <f>AVERAGE(N23:N27)</f>
        <v>8.945714286</v>
      </c>
      <c r="N23" s="989">
        <v>9.066666666666666</v>
      </c>
      <c r="O23" s="988">
        <f>AVERAGE(P23:P27)</f>
        <v>7.766666667</v>
      </c>
      <c r="P23" s="989">
        <v>7.9</v>
      </c>
      <c r="Q23" s="988">
        <f>AVERAGE(R23:R27)</f>
        <v>7.371428571</v>
      </c>
      <c r="R23" s="989">
        <v>7.285714285714286</v>
      </c>
      <c r="S23" s="988">
        <f>AVERAGE(T23:T27)</f>
        <v>8.415384615</v>
      </c>
      <c r="T23" s="989">
        <v>8.461538461538462</v>
      </c>
      <c r="U23" s="709">
        <f>AVERAGE(V23:V27)</f>
        <v>8.226666667</v>
      </c>
      <c r="V23" s="987">
        <v>8.066666666666666</v>
      </c>
      <c r="W23" s="709">
        <f>AVERAGE(X23:X27)</f>
        <v>8.045454545</v>
      </c>
      <c r="X23" s="987">
        <v>8.272727272727273</v>
      </c>
      <c r="Y23" s="709">
        <f>AVERAGE(Z23:Z27)</f>
        <v>8.466666667</v>
      </c>
      <c r="Z23" s="990">
        <v>8.733333333333333</v>
      </c>
      <c r="AA23" s="988">
        <f>AVERAGE(AB23:AB27)</f>
        <v>8.770588235</v>
      </c>
      <c r="AB23" s="991">
        <v>8.941176470588236</v>
      </c>
      <c r="AC23" s="709">
        <f>AVERAGE(AD23:AD27)</f>
        <v>8.382352941</v>
      </c>
      <c r="AD23" s="987">
        <v>8.294117647058824</v>
      </c>
      <c r="AE23" s="709">
        <f>AVERAGE(AF23:AF27)</f>
        <v>8.15530303</v>
      </c>
      <c r="AF23" s="987">
        <v>8.0</v>
      </c>
      <c r="AG23" s="709">
        <f>AVERAGE(AH23:AH27)</f>
        <v>7.528571429</v>
      </c>
      <c r="AH23" s="987">
        <v>7.5</v>
      </c>
      <c r="AI23" s="709">
        <f>AVERAGE(AJ23:AJ27)</f>
        <v>7.038888889</v>
      </c>
      <c r="AJ23" s="987">
        <v>7.0</v>
      </c>
      <c r="AK23" s="709">
        <f>AVERAGE(AL23:AL27)</f>
        <v>8.161538462</v>
      </c>
      <c r="AL23" s="987">
        <v>8.615384615384615</v>
      </c>
      <c r="AM23" s="709">
        <f>AVERAGE(AN23:AN27)</f>
        <v>7.669230769</v>
      </c>
      <c r="AN23" s="987">
        <v>7.6923076923076925</v>
      </c>
      <c r="AO23" s="709">
        <f>AVERAGE(AP23:AP27)</f>
        <v>7.818181818</v>
      </c>
      <c r="AP23" s="987">
        <v>8.181818181818182</v>
      </c>
      <c r="AQ23" s="988">
        <f>AVERAGE(AR23:AR27)</f>
        <v>7.1</v>
      </c>
      <c r="AR23" s="992">
        <v>7.166666666666667</v>
      </c>
      <c r="AS23" s="988">
        <f>AVERAGE(AT23:AT27)</f>
        <v>6.983333333</v>
      </c>
      <c r="AT23" s="992">
        <v>6.75</v>
      </c>
      <c r="AU23" s="988">
        <f>AVERAGE(AV23:AV27)</f>
        <v>8.48</v>
      </c>
      <c r="AV23" s="993">
        <v>8.7</v>
      </c>
      <c r="AW23" s="1017">
        <f>AVERAGE(AX23:AX27)</f>
        <v>8.688888889</v>
      </c>
      <c r="AX23" s="1011">
        <v>8.88888888888889</v>
      </c>
      <c r="AY23" s="1018">
        <f>AVERAGE(AZ23:AZ27)</f>
        <v>8.466666667</v>
      </c>
      <c r="AZ23" s="1011">
        <v>8.75</v>
      </c>
      <c r="BA23" s="980"/>
    </row>
    <row r="24" ht="52.5" customHeight="1">
      <c r="A24" s="61"/>
      <c r="B24" s="1016" t="s">
        <v>181</v>
      </c>
      <c r="C24" s="61"/>
      <c r="D24" s="986">
        <v>7.434782608695652</v>
      </c>
      <c r="E24" s="61"/>
      <c r="F24" s="987">
        <v>8.347826086956522</v>
      </c>
      <c r="G24" s="997"/>
      <c r="H24" s="989">
        <v>7.25</v>
      </c>
      <c r="I24" s="997"/>
      <c r="J24" s="989">
        <v>8.1</v>
      </c>
      <c r="K24" s="997"/>
      <c r="L24" s="989">
        <v>8.090909090909092</v>
      </c>
      <c r="M24" s="997"/>
      <c r="N24" s="989">
        <v>8.928571428571429</v>
      </c>
      <c r="O24" s="997"/>
      <c r="P24" s="989">
        <v>7.333333333333333</v>
      </c>
      <c r="Q24" s="997"/>
      <c r="R24" s="989">
        <v>7.0</v>
      </c>
      <c r="S24" s="997"/>
      <c r="T24" s="989">
        <v>8.153846153846153</v>
      </c>
      <c r="U24" s="61"/>
      <c r="V24" s="987">
        <v>7.866666666666666</v>
      </c>
      <c r="W24" s="61"/>
      <c r="X24" s="987">
        <v>7.636363636363637</v>
      </c>
      <c r="Y24" s="61"/>
      <c r="Z24" s="990">
        <v>8.266666666666667</v>
      </c>
      <c r="AA24" s="997"/>
      <c r="AB24" s="991">
        <v>8.5</v>
      </c>
      <c r="AC24" s="61"/>
      <c r="AD24" s="987">
        <v>8.176470588235293</v>
      </c>
      <c r="AE24" s="61"/>
      <c r="AF24" s="987">
        <v>7.818181818181818</v>
      </c>
      <c r="AG24" s="61"/>
      <c r="AH24" s="987">
        <v>7.5</v>
      </c>
      <c r="AI24" s="61"/>
      <c r="AJ24" s="987">
        <v>7.111111111111111</v>
      </c>
      <c r="AK24" s="61"/>
      <c r="AL24" s="987">
        <v>8.153846153846153</v>
      </c>
      <c r="AM24" s="61"/>
      <c r="AN24" s="987">
        <v>7.5</v>
      </c>
      <c r="AO24" s="61"/>
      <c r="AP24" s="987">
        <v>7.636363636363637</v>
      </c>
      <c r="AQ24" s="997"/>
      <c r="AR24" s="992">
        <v>6.916666666666667</v>
      </c>
      <c r="AS24" s="997"/>
      <c r="AT24" s="992">
        <v>6.5</v>
      </c>
      <c r="AU24" s="997"/>
      <c r="AV24" s="993">
        <v>8.3</v>
      </c>
      <c r="AW24" s="998"/>
      <c r="AX24" s="1011">
        <v>8.555555555555555</v>
      </c>
      <c r="AY24" s="1000"/>
      <c r="AZ24" s="1004">
        <v>8.25</v>
      </c>
      <c r="BA24" s="980"/>
    </row>
    <row r="25" ht="52.5" customHeight="1">
      <c r="A25" s="61"/>
      <c r="B25" s="1016" t="s">
        <v>178</v>
      </c>
      <c r="C25" s="61"/>
      <c r="D25" s="986">
        <v>8.782608695652174</v>
      </c>
      <c r="E25" s="61"/>
      <c r="F25" s="987">
        <v>8.652173913043478</v>
      </c>
      <c r="G25" s="997"/>
      <c r="H25" s="989">
        <v>9.0</v>
      </c>
      <c r="I25" s="997"/>
      <c r="J25" s="989">
        <v>8.9</v>
      </c>
      <c r="K25" s="997"/>
      <c r="L25" s="989">
        <v>8.363636363636363</v>
      </c>
      <c r="M25" s="997"/>
      <c r="N25" s="989">
        <v>8.733333333333333</v>
      </c>
      <c r="O25" s="997"/>
      <c r="P25" s="989">
        <v>8.7</v>
      </c>
      <c r="Q25" s="997"/>
      <c r="R25" s="989">
        <v>8.428571428571429</v>
      </c>
      <c r="S25" s="997"/>
      <c r="T25" s="989">
        <v>9.23076923076923</v>
      </c>
      <c r="U25" s="61"/>
      <c r="V25" s="987">
        <v>8.133333333333333</v>
      </c>
      <c r="W25" s="61"/>
      <c r="X25" s="987">
        <v>8.454545454545455</v>
      </c>
      <c r="Y25" s="61"/>
      <c r="Z25" s="990">
        <v>8.6</v>
      </c>
      <c r="AA25" s="997"/>
      <c r="AB25" s="991">
        <v>8.647058823529411</v>
      </c>
      <c r="AC25" s="61"/>
      <c r="AD25" s="987">
        <v>8.529411764705882</v>
      </c>
      <c r="AE25" s="61"/>
      <c r="AF25" s="987">
        <v>8.583333333333334</v>
      </c>
      <c r="AG25" s="61"/>
      <c r="AH25" s="987">
        <v>8.5</v>
      </c>
      <c r="AI25" s="61"/>
      <c r="AJ25" s="987">
        <v>8.333333333333334</v>
      </c>
      <c r="AK25" s="61"/>
      <c r="AL25" s="987">
        <v>8.461538461538462</v>
      </c>
      <c r="AM25" s="61"/>
      <c r="AN25" s="987">
        <v>7.423076923076923</v>
      </c>
      <c r="AO25" s="61"/>
      <c r="AP25" s="987">
        <v>8.454545454545455</v>
      </c>
      <c r="AQ25" s="997"/>
      <c r="AR25" s="992">
        <v>8.333333333333334</v>
      </c>
      <c r="AS25" s="997"/>
      <c r="AT25" s="992">
        <v>8.916666666666666</v>
      </c>
      <c r="AU25" s="997"/>
      <c r="AV25" s="993">
        <v>8.9</v>
      </c>
      <c r="AW25" s="998"/>
      <c r="AX25" s="1011">
        <v>9.0</v>
      </c>
      <c r="AY25" s="1000"/>
      <c r="AZ25" s="1011">
        <v>9.0</v>
      </c>
      <c r="BA25" s="980"/>
    </row>
    <row r="26" ht="52.5" customHeight="1">
      <c r="A26" s="61"/>
      <c r="B26" s="1016" t="s">
        <v>180</v>
      </c>
      <c r="C26" s="61"/>
      <c r="D26" s="986">
        <v>7.6521739130434785</v>
      </c>
      <c r="E26" s="61"/>
      <c r="F26" s="987">
        <v>8.826086956521738</v>
      </c>
      <c r="G26" s="997"/>
      <c r="H26" s="989">
        <v>7.5</v>
      </c>
      <c r="I26" s="997"/>
      <c r="J26" s="989">
        <v>8.3</v>
      </c>
      <c r="K26" s="997"/>
      <c r="L26" s="989">
        <v>8.0</v>
      </c>
      <c r="M26" s="997"/>
      <c r="N26" s="989">
        <v>8.866666666666667</v>
      </c>
      <c r="O26" s="997"/>
      <c r="P26" s="989">
        <v>7.0</v>
      </c>
      <c r="Q26" s="997"/>
      <c r="R26" s="989">
        <v>7.428571428571429</v>
      </c>
      <c r="S26" s="997"/>
      <c r="T26" s="989">
        <v>7.615384615384615</v>
      </c>
      <c r="U26" s="61"/>
      <c r="V26" s="987">
        <v>8.533333333333333</v>
      </c>
      <c r="W26" s="61"/>
      <c r="X26" s="987">
        <v>7.636363636363637</v>
      </c>
      <c r="Y26" s="61"/>
      <c r="Z26" s="990">
        <v>8.133333333333333</v>
      </c>
      <c r="AA26" s="997"/>
      <c r="AB26" s="991">
        <v>8.764705882352942</v>
      </c>
      <c r="AC26" s="61"/>
      <c r="AD26" s="987">
        <v>8.294117647058824</v>
      </c>
      <c r="AE26" s="61"/>
      <c r="AF26" s="987">
        <v>8.0</v>
      </c>
      <c r="AG26" s="61"/>
      <c r="AH26" s="987">
        <v>7.071428571428571</v>
      </c>
      <c r="AI26" s="61"/>
      <c r="AJ26" s="987">
        <v>6.5</v>
      </c>
      <c r="AK26" s="61"/>
      <c r="AL26" s="987">
        <v>7.461538461538462</v>
      </c>
      <c r="AM26" s="61"/>
      <c r="AN26" s="987">
        <v>7.538461538461538</v>
      </c>
      <c r="AO26" s="61"/>
      <c r="AP26" s="987">
        <v>7.363636363636363</v>
      </c>
      <c r="AQ26" s="997"/>
      <c r="AR26" s="992">
        <v>6.416666666666667</v>
      </c>
      <c r="AS26" s="997"/>
      <c r="AT26" s="992">
        <v>6.5</v>
      </c>
      <c r="AU26" s="997"/>
      <c r="AV26" s="993">
        <v>7.9</v>
      </c>
      <c r="AW26" s="998"/>
      <c r="AX26" s="1004">
        <v>8.11111111111111</v>
      </c>
      <c r="AY26" s="1000"/>
      <c r="AZ26" s="1003">
        <v>7.833333333333333</v>
      </c>
      <c r="BA26" s="980"/>
    </row>
    <row r="27" ht="52.5" customHeight="1">
      <c r="A27" s="69"/>
      <c r="B27" s="1016" t="s">
        <v>182</v>
      </c>
      <c r="C27" s="61"/>
      <c r="D27" s="986">
        <v>8.173913043478262</v>
      </c>
      <c r="E27" s="69"/>
      <c r="F27" s="987">
        <v>8.869565217391305</v>
      </c>
      <c r="G27" s="1005"/>
      <c r="H27" s="989">
        <v>7.5</v>
      </c>
      <c r="I27" s="1005"/>
      <c r="J27" s="989">
        <v>8.7</v>
      </c>
      <c r="K27" s="1005"/>
      <c r="L27" s="989">
        <v>8.454545454545455</v>
      </c>
      <c r="M27" s="1005"/>
      <c r="N27" s="989">
        <v>9.133333333333333</v>
      </c>
      <c r="O27" s="1005"/>
      <c r="P27" s="989">
        <v>7.9</v>
      </c>
      <c r="Q27" s="1005"/>
      <c r="R27" s="989">
        <v>6.714285714285714</v>
      </c>
      <c r="S27" s="1005"/>
      <c r="T27" s="989">
        <v>8.615384615384615</v>
      </c>
      <c r="U27" s="69"/>
      <c r="V27" s="987">
        <v>8.533333333333333</v>
      </c>
      <c r="W27" s="69"/>
      <c r="X27" s="987">
        <v>8.227272727272727</v>
      </c>
      <c r="Y27" s="69"/>
      <c r="Z27" s="990">
        <v>8.6</v>
      </c>
      <c r="AA27" s="1005"/>
      <c r="AB27" s="991">
        <v>9.0</v>
      </c>
      <c r="AC27" s="69"/>
      <c r="AD27" s="987">
        <v>8.617647058823529</v>
      </c>
      <c r="AE27" s="69"/>
      <c r="AF27" s="987">
        <v>8.375</v>
      </c>
      <c r="AG27" s="69"/>
      <c r="AH27" s="987">
        <v>7.071428571428571</v>
      </c>
      <c r="AI27" s="69"/>
      <c r="AJ27" s="987">
        <v>6.25</v>
      </c>
      <c r="AK27" s="69"/>
      <c r="AL27" s="987">
        <v>8.115384615384615</v>
      </c>
      <c r="AM27" s="69"/>
      <c r="AN27" s="987">
        <v>8.192307692307692</v>
      </c>
      <c r="AO27" s="69"/>
      <c r="AP27" s="987">
        <v>7.454545454545454</v>
      </c>
      <c r="AQ27" s="1005"/>
      <c r="AR27" s="992">
        <v>6.666666666666667</v>
      </c>
      <c r="AS27" s="1005"/>
      <c r="AT27" s="992">
        <v>6.25</v>
      </c>
      <c r="AU27" s="1005"/>
      <c r="AV27" s="993">
        <v>8.6</v>
      </c>
      <c r="AW27" s="1006"/>
      <c r="AX27" s="1011">
        <v>8.88888888888889</v>
      </c>
      <c r="AY27" s="315"/>
      <c r="AZ27" s="1004">
        <v>8.5</v>
      </c>
      <c r="BA27" s="980"/>
    </row>
    <row r="28" ht="52.5" customHeight="1">
      <c r="A28" s="1019" t="s">
        <v>54</v>
      </c>
      <c r="B28" s="1020" t="s">
        <v>183</v>
      </c>
      <c r="C28" s="1014">
        <f>AVERAGE(D28:D33)</f>
        <v>7.764849624</v>
      </c>
      <c r="D28" s="986">
        <v>7.947368421052632</v>
      </c>
      <c r="E28" s="709">
        <f>AVERAGE(F28:F33)</f>
        <v>7.739216701</v>
      </c>
      <c r="F28" s="987">
        <v>7.904761904761905</v>
      </c>
      <c r="G28" s="988">
        <f>AVERAGE(H28:H33)</f>
        <v>8.189646465</v>
      </c>
      <c r="H28" s="989">
        <v>8.333333333333334</v>
      </c>
      <c r="I28" s="988">
        <f>AVERAGE(J28:J33)</f>
        <v>7.385185185</v>
      </c>
      <c r="J28" s="989">
        <v>7.1</v>
      </c>
      <c r="K28" s="988">
        <f>AVERAGE(L28:L33)</f>
        <v>7.393939394</v>
      </c>
      <c r="L28" s="989">
        <v>7.363636363636363</v>
      </c>
      <c r="M28" s="988">
        <f>AVERAGE(N28:N33)</f>
        <v>7.795238095</v>
      </c>
      <c r="N28" s="989">
        <v>7.666666666666667</v>
      </c>
      <c r="O28" s="988">
        <f>AVERAGE(P28:P33)</f>
        <v>7.946296296</v>
      </c>
      <c r="P28" s="989">
        <v>7.8</v>
      </c>
      <c r="Q28" s="988">
        <f>AVERAGE(R28:R33)</f>
        <v>7.51984127</v>
      </c>
      <c r="R28" s="989">
        <v>7.0</v>
      </c>
      <c r="S28" s="988">
        <f>AVERAGE(T28:T33)</f>
        <v>8.191239316</v>
      </c>
      <c r="T28" s="989">
        <v>8.153846153846153</v>
      </c>
      <c r="U28" s="709">
        <f>AVERAGE(V28:V33)</f>
        <v>7.673809524</v>
      </c>
      <c r="V28" s="987">
        <v>7.733333333333333</v>
      </c>
      <c r="W28" s="709">
        <f>AVERAGE(X28:X33)</f>
        <v>7.329545455</v>
      </c>
      <c r="X28" s="987">
        <v>7.35</v>
      </c>
      <c r="Y28" s="709">
        <f>AVERAGE(Z28:Z33)</f>
        <v>8.203968254</v>
      </c>
      <c r="Z28" s="990">
        <v>8.133333333333333</v>
      </c>
      <c r="AA28" s="988">
        <f>AVERAGE(AB28:AB33)</f>
        <v>7.909007353</v>
      </c>
      <c r="AB28" s="991">
        <v>7.9411764705882355</v>
      </c>
      <c r="AC28" s="709">
        <f>AVERAGE(AD28:AD33)</f>
        <v>7.705882353</v>
      </c>
      <c r="AD28" s="987">
        <v>7.764705882352941</v>
      </c>
      <c r="AE28" s="709">
        <f>AVERAGE(AF28:AF33)</f>
        <v>7.395791246</v>
      </c>
      <c r="AF28" s="987">
        <v>7.111111111111111</v>
      </c>
      <c r="AG28" s="709">
        <f>AVERAGE(AH28:AH33)</f>
        <v>7.594419469</v>
      </c>
      <c r="AH28" s="987">
        <v>7.416666666666667</v>
      </c>
      <c r="AI28" s="709">
        <f>AVERAGE(AJ28:AJ33)</f>
        <v>7.592592593</v>
      </c>
      <c r="AJ28" s="987">
        <v>7.833333333333333</v>
      </c>
      <c r="AK28" s="709">
        <f>AVERAGE(AL28:AL33)</f>
        <v>8.006410256</v>
      </c>
      <c r="AL28" s="987">
        <v>8.076923076923077</v>
      </c>
      <c r="AM28" s="709">
        <f>AVERAGE(AN28:AN33)</f>
        <v>7.772435897</v>
      </c>
      <c r="AN28" s="987">
        <v>7.846153846153846</v>
      </c>
      <c r="AO28" s="709">
        <f>AVERAGE(AP28:AP33)</f>
        <v>6.654040404</v>
      </c>
      <c r="AP28" s="987">
        <v>6.333333333333333</v>
      </c>
      <c r="AQ28" s="988">
        <f>AVERAGE(AR28:AR33)</f>
        <v>8.194444444</v>
      </c>
      <c r="AR28" s="992">
        <v>8.166666666666666</v>
      </c>
      <c r="AS28" s="988">
        <f>AVERAGE(AT28:AT33)</f>
        <v>7.661616162</v>
      </c>
      <c r="AT28" s="992">
        <v>7.416666666666667</v>
      </c>
      <c r="AU28" s="988">
        <f>AVERAGE(AV28:AV33)</f>
        <v>7.95</v>
      </c>
      <c r="AV28" s="993">
        <v>7.7</v>
      </c>
      <c r="AW28" s="1009">
        <f>AVERAGE(AX28:AX33)</f>
        <v>7.983796296</v>
      </c>
      <c r="AX28" s="1003">
        <v>8.0</v>
      </c>
      <c r="AY28" s="1010">
        <f>AVERAGE(AZ28:AZ33)</f>
        <v>7.809343434</v>
      </c>
      <c r="AZ28" s="999">
        <v>7.5</v>
      </c>
      <c r="BA28" s="980"/>
    </row>
    <row r="29" ht="52.5" customHeight="1">
      <c r="A29" s="61"/>
      <c r="B29" s="1020" t="s">
        <v>185</v>
      </c>
      <c r="C29" s="61"/>
      <c r="D29" s="986">
        <v>7.631578947368421</v>
      </c>
      <c r="E29" s="61"/>
      <c r="F29" s="987">
        <v>7.619047619047619</v>
      </c>
      <c r="G29" s="997"/>
      <c r="H29" s="989">
        <v>8.416666666666666</v>
      </c>
      <c r="I29" s="997"/>
      <c r="J29" s="989">
        <v>7.2</v>
      </c>
      <c r="K29" s="997"/>
      <c r="L29" s="989">
        <v>7.090909090909091</v>
      </c>
      <c r="M29" s="997"/>
      <c r="N29" s="989">
        <v>7.533333333333333</v>
      </c>
      <c r="O29" s="997"/>
      <c r="P29" s="989">
        <v>8.1</v>
      </c>
      <c r="Q29" s="997"/>
      <c r="R29" s="989">
        <v>7.571428571428571</v>
      </c>
      <c r="S29" s="997"/>
      <c r="T29" s="989">
        <v>8.307692307692308</v>
      </c>
      <c r="U29" s="61"/>
      <c r="V29" s="987">
        <v>7.733333333333333</v>
      </c>
      <c r="W29" s="61"/>
      <c r="X29" s="987">
        <v>6.9</v>
      </c>
      <c r="Y29" s="61"/>
      <c r="Z29" s="990">
        <v>8.357142857142858</v>
      </c>
      <c r="AA29" s="997"/>
      <c r="AB29" s="991">
        <v>7.882352941176471</v>
      </c>
      <c r="AC29" s="61"/>
      <c r="AD29" s="987">
        <v>7.411764705882353</v>
      </c>
      <c r="AE29" s="61"/>
      <c r="AF29" s="987">
        <v>7.0</v>
      </c>
      <c r="AG29" s="61"/>
      <c r="AH29" s="987">
        <v>7.75</v>
      </c>
      <c r="AI29" s="61"/>
      <c r="AJ29" s="987">
        <v>7.444444444444445</v>
      </c>
      <c r="AK29" s="61"/>
      <c r="AL29" s="987">
        <v>8.23076923076923</v>
      </c>
      <c r="AM29" s="61"/>
      <c r="AN29" s="987">
        <v>8.0</v>
      </c>
      <c r="AO29" s="61"/>
      <c r="AP29" s="987">
        <v>6.2</v>
      </c>
      <c r="AQ29" s="997"/>
      <c r="AR29" s="992">
        <v>8.666666666666666</v>
      </c>
      <c r="AS29" s="997"/>
      <c r="AT29" s="992">
        <v>7.333333333333333</v>
      </c>
      <c r="AU29" s="997"/>
      <c r="AV29" s="993">
        <v>7.9</v>
      </c>
      <c r="AW29" s="998"/>
      <c r="AX29" s="1003">
        <v>7.777777777777778</v>
      </c>
      <c r="AY29" s="1000"/>
      <c r="AZ29" s="999">
        <v>7.416666666666667</v>
      </c>
      <c r="BA29" s="980"/>
    </row>
    <row r="30" ht="52.5" customHeight="1">
      <c r="A30" s="61"/>
      <c r="B30" s="1020" t="s">
        <v>57</v>
      </c>
      <c r="C30" s="61"/>
      <c r="D30" s="986">
        <v>8.0</v>
      </c>
      <c r="E30" s="61"/>
      <c r="F30" s="987">
        <v>7.857142857142857</v>
      </c>
      <c r="G30" s="997"/>
      <c r="H30" s="989">
        <v>8.1</v>
      </c>
      <c r="I30" s="997"/>
      <c r="J30" s="989">
        <v>7.888888888888889</v>
      </c>
      <c r="K30" s="997"/>
      <c r="L30" s="989">
        <v>8.090909090909092</v>
      </c>
      <c r="M30" s="997"/>
      <c r="N30" s="989">
        <v>8.5</v>
      </c>
      <c r="O30" s="997"/>
      <c r="P30" s="989">
        <v>7.777777777777778</v>
      </c>
      <c r="Q30" s="997"/>
      <c r="R30" s="989">
        <v>8.285714285714286</v>
      </c>
      <c r="S30" s="997"/>
      <c r="T30" s="989">
        <v>8.076923076923077</v>
      </c>
      <c r="U30" s="61"/>
      <c r="V30" s="987">
        <v>7.285714285714286</v>
      </c>
      <c r="W30" s="61"/>
      <c r="X30" s="987">
        <v>7.454545454545454</v>
      </c>
      <c r="Y30" s="61"/>
      <c r="Z30" s="990">
        <v>7.666666666666667</v>
      </c>
      <c r="AA30" s="997"/>
      <c r="AB30" s="991">
        <v>7.875</v>
      </c>
      <c r="AC30" s="61"/>
      <c r="AD30" s="987">
        <v>8.0</v>
      </c>
      <c r="AE30" s="61"/>
      <c r="AF30" s="987">
        <v>8.11111111111111</v>
      </c>
      <c r="AG30" s="61"/>
      <c r="AH30" s="987">
        <v>7.545454545454546</v>
      </c>
      <c r="AI30" s="61"/>
      <c r="AJ30" s="987">
        <v>7.888888888888889</v>
      </c>
      <c r="AK30" s="61"/>
      <c r="AL30" s="987">
        <v>7.6923076923076925</v>
      </c>
      <c r="AM30" s="61"/>
      <c r="AN30" s="987">
        <v>6.923076923076923</v>
      </c>
      <c r="AO30" s="61"/>
      <c r="AP30" s="987">
        <v>7.363636363636363</v>
      </c>
      <c r="AQ30" s="997"/>
      <c r="AR30" s="992">
        <v>7.333333333333333</v>
      </c>
      <c r="AS30" s="997"/>
      <c r="AT30" s="992">
        <v>8.5</v>
      </c>
      <c r="AU30" s="997"/>
      <c r="AV30" s="993">
        <v>8.0</v>
      </c>
      <c r="AW30" s="998"/>
      <c r="AX30" s="1004">
        <v>8.125</v>
      </c>
      <c r="AY30" s="1000"/>
      <c r="AZ30" s="1004">
        <v>8.272727272727273</v>
      </c>
      <c r="BA30" s="980"/>
    </row>
    <row r="31" ht="52.5" customHeight="1">
      <c r="A31" s="61"/>
      <c r="B31" s="1020" t="s">
        <v>184</v>
      </c>
      <c r="C31" s="61"/>
      <c r="D31" s="986">
        <v>7.95</v>
      </c>
      <c r="E31" s="61"/>
      <c r="F31" s="987">
        <v>8.05</v>
      </c>
      <c r="G31" s="997"/>
      <c r="H31" s="989">
        <v>9.181818181818182</v>
      </c>
      <c r="I31" s="997"/>
      <c r="J31" s="989">
        <v>7.9</v>
      </c>
      <c r="K31" s="997"/>
      <c r="L31" s="989">
        <v>7.090909090909091</v>
      </c>
      <c r="M31" s="997"/>
      <c r="N31" s="989">
        <v>7.666666666666667</v>
      </c>
      <c r="O31" s="997"/>
      <c r="P31" s="989">
        <v>8.4</v>
      </c>
      <c r="Q31" s="997"/>
      <c r="R31" s="989">
        <v>7.571428571428571</v>
      </c>
      <c r="S31" s="997"/>
      <c r="T31" s="989">
        <v>8.538461538461538</v>
      </c>
      <c r="U31" s="61"/>
      <c r="V31" s="987">
        <v>8.285714285714286</v>
      </c>
      <c r="W31" s="61"/>
      <c r="X31" s="987">
        <v>6.863636363636363</v>
      </c>
      <c r="Y31" s="61"/>
      <c r="Z31" s="990">
        <v>8.6</v>
      </c>
      <c r="AA31" s="997"/>
      <c r="AB31" s="991">
        <v>8.294117647058824</v>
      </c>
      <c r="AC31" s="61"/>
      <c r="AD31" s="987">
        <v>7.823529411764706</v>
      </c>
      <c r="AE31" s="61"/>
      <c r="AF31" s="987">
        <v>6.863636363636363</v>
      </c>
      <c r="AG31" s="61"/>
      <c r="AH31" s="987">
        <v>7.535714285714286</v>
      </c>
      <c r="AI31" s="61"/>
      <c r="AJ31" s="987">
        <v>7.722222222222222</v>
      </c>
      <c r="AK31" s="61"/>
      <c r="AL31" s="987">
        <v>8.307692307692308</v>
      </c>
      <c r="AM31" s="61"/>
      <c r="AN31" s="987">
        <v>8.461538461538462</v>
      </c>
      <c r="AO31" s="61"/>
      <c r="AP31" s="987">
        <v>5.818181818181818</v>
      </c>
      <c r="AQ31" s="997"/>
      <c r="AR31" s="992">
        <v>8.916666666666666</v>
      </c>
      <c r="AS31" s="997"/>
      <c r="AT31" s="992">
        <v>7.454545454545454</v>
      </c>
      <c r="AU31" s="997"/>
      <c r="AV31" s="993">
        <v>8.1</v>
      </c>
      <c r="AW31" s="998"/>
      <c r="AX31" s="1004">
        <v>8.222222222222221</v>
      </c>
      <c r="AY31" s="1000"/>
      <c r="AZ31" s="1003">
        <v>7.583333333333333</v>
      </c>
      <c r="BA31" s="980"/>
    </row>
    <row r="32" ht="52.5" customHeight="1">
      <c r="A32" s="61"/>
      <c r="B32" s="1020" t="s">
        <v>59</v>
      </c>
      <c r="C32" s="61"/>
      <c r="D32" s="986">
        <v>8.428571428571429</v>
      </c>
      <c r="E32" s="61"/>
      <c r="F32" s="987">
        <v>8.304347826086957</v>
      </c>
      <c r="G32" s="997"/>
      <c r="H32" s="989">
        <v>8.272727272727273</v>
      </c>
      <c r="I32" s="997"/>
      <c r="J32" s="989">
        <v>8.0</v>
      </c>
      <c r="K32" s="997"/>
      <c r="L32" s="989">
        <v>8.090909090909092</v>
      </c>
      <c r="M32" s="997"/>
      <c r="N32" s="989">
        <v>8.333333333333334</v>
      </c>
      <c r="O32" s="997"/>
      <c r="P32" s="989">
        <v>8.0</v>
      </c>
      <c r="Q32" s="997"/>
      <c r="R32" s="989">
        <v>7.857142857142857</v>
      </c>
      <c r="S32" s="997"/>
      <c r="T32" s="989">
        <v>8.153846153846153</v>
      </c>
      <c r="U32" s="61"/>
      <c r="V32" s="987">
        <v>8.071428571428571</v>
      </c>
      <c r="W32" s="61"/>
      <c r="X32" s="987">
        <v>7.909090909090909</v>
      </c>
      <c r="Y32" s="61"/>
      <c r="Z32" s="990">
        <v>8.466666666666667</v>
      </c>
      <c r="AA32" s="997"/>
      <c r="AB32" s="991">
        <v>8.117647058823529</v>
      </c>
      <c r="AC32" s="61"/>
      <c r="AD32" s="987">
        <v>8.0</v>
      </c>
      <c r="AE32" s="61"/>
      <c r="AF32" s="987">
        <v>7.9</v>
      </c>
      <c r="AG32" s="61"/>
      <c r="AH32" s="987">
        <v>7.857142857142857</v>
      </c>
      <c r="AI32" s="61"/>
      <c r="AJ32" s="987">
        <v>7.666666666666667</v>
      </c>
      <c r="AK32" s="61"/>
      <c r="AL32" s="987">
        <v>8.307692307692308</v>
      </c>
      <c r="AM32" s="61"/>
      <c r="AN32" s="987">
        <v>7.75</v>
      </c>
      <c r="AO32" s="61"/>
      <c r="AP32" s="987">
        <v>7.909090909090909</v>
      </c>
      <c r="AQ32" s="997"/>
      <c r="AR32" s="992">
        <v>8.166666666666666</v>
      </c>
      <c r="AS32" s="997"/>
      <c r="AT32" s="992">
        <v>8.181818181818182</v>
      </c>
      <c r="AU32" s="997"/>
      <c r="AV32" s="993">
        <v>8.2</v>
      </c>
      <c r="AW32" s="998"/>
      <c r="AX32" s="1011">
        <v>8.555555555555555</v>
      </c>
      <c r="AY32" s="1000"/>
      <c r="AZ32" s="1011">
        <v>8.666666666666666</v>
      </c>
      <c r="BA32" s="980"/>
    </row>
    <row r="33" ht="52.5" customHeight="1">
      <c r="A33" s="69"/>
      <c r="B33" s="1020" t="s">
        <v>58</v>
      </c>
      <c r="C33" s="69"/>
      <c r="D33" s="986">
        <v>6.631578947368421</v>
      </c>
      <c r="E33" s="69"/>
      <c r="F33" s="987">
        <v>6.7</v>
      </c>
      <c r="G33" s="1005"/>
      <c r="H33" s="989">
        <v>6.833333333333333</v>
      </c>
      <c r="I33" s="1005"/>
      <c r="J33" s="989">
        <v>6.222222222222222</v>
      </c>
      <c r="K33" s="1005"/>
      <c r="L33" s="989">
        <v>6.636363636363637</v>
      </c>
      <c r="M33" s="1005"/>
      <c r="N33" s="989">
        <v>7.071428571428571</v>
      </c>
      <c r="O33" s="1005"/>
      <c r="P33" s="989">
        <v>7.6</v>
      </c>
      <c r="Q33" s="1005"/>
      <c r="R33" s="989">
        <v>6.833333333333333</v>
      </c>
      <c r="S33" s="1005"/>
      <c r="T33" s="989">
        <v>7.916666666666667</v>
      </c>
      <c r="U33" s="69"/>
      <c r="V33" s="987">
        <v>6.933333333333334</v>
      </c>
      <c r="W33" s="69"/>
      <c r="X33" s="987">
        <v>7.5</v>
      </c>
      <c r="Y33" s="69"/>
      <c r="Z33" s="990">
        <v>8.0</v>
      </c>
      <c r="AA33" s="1005"/>
      <c r="AB33" s="991">
        <v>7.34375</v>
      </c>
      <c r="AC33" s="69"/>
      <c r="AD33" s="987">
        <v>7.235294117647059</v>
      </c>
      <c r="AE33" s="69"/>
      <c r="AF33" s="987">
        <v>7.388888888888889</v>
      </c>
      <c r="AG33" s="69"/>
      <c r="AH33" s="987">
        <v>7.461538461538462</v>
      </c>
      <c r="AI33" s="69"/>
      <c r="AJ33" s="987">
        <v>7.0</v>
      </c>
      <c r="AK33" s="69"/>
      <c r="AL33" s="987">
        <v>7.423076923076923</v>
      </c>
      <c r="AM33" s="69"/>
      <c r="AN33" s="987">
        <v>7.653846153846154</v>
      </c>
      <c r="AO33" s="69"/>
      <c r="AP33" s="987">
        <v>6.3</v>
      </c>
      <c r="AQ33" s="1005"/>
      <c r="AR33" s="992">
        <v>7.916666666666667</v>
      </c>
      <c r="AS33" s="1005"/>
      <c r="AT33" s="992">
        <v>7.083333333333333</v>
      </c>
      <c r="AU33" s="1005"/>
      <c r="AV33" s="993">
        <v>7.8</v>
      </c>
      <c r="AW33" s="1006"/>
      <c r="AX33" s="999">
        <v>7.222222222222222</v>
      </c>
      <c r="AY33" s="315"/>
      <c r="AZ33" s="999">
        <v>7.416666666666667</v>
      </c>
      <c r="BA33" s="980"/>
    </row>
    <row r="34" ht="52.5" customHeight="1">
      <c r="A34" s="1021" t="s">
        <v>60</v>
      </c>
      <c r="B34" s="1022" t="s">
        <v>61</v>
      </c>
      <c r="C34" s="709">
        <f>AVERAGE(D34:D38)</f>
        <v>8.07826087</v>
      </c>
      <c r="D34" s="986">
        <v>7.173913043478261</v>
      </c>
      <c r="E34" s="709">
        <f>AVERAGE(F34:F38)</f>
        <v>8.130434783</v>
      </c>
      <c r="F34" s="987">
        <v>7.608695652173913</v>
      </c>
      <c r="G34" s="988">
        <f>AVERAGE(H34:H38)</f>
        <v>8.14030303</v>
      </c>
      <c r="H34" s="989">
        <v>7.3</v>
      </c>
      <c r="I34" s="988">
        <f>AVERAGE(J34:J38)</f>
        <v>7.797777778</v>
      </c>
      <c r="J34" s="989">
        <v>7.1</v>
      </c>
      <c r="K34" s="988">
        <f>AVERAGE(L34:L38)</f>
        <v>7.429090909</v>
      </c>
      <c r="L34" s="989">
        <v>7.090909090909091</v>
      </c>
      <c r="M34" s="988">
        <f>AVERAGE(N34:N38)</f>
        <v>8.226320346</v>
      </c>
      <c r="N34" s="989">
        <v>8.0</v>
      </c>
      <c r="O34" s="988">
        <f>AVERAGE(P34:P38)</f>
        <v>7.755</v>
      </c>
      <c r="P34" s="989">
        <v>7.6</v>
      </c>
      <c r="Q34" s="988">
        <f>AVERAGE(R34:R38)</f>
        <v>7.328571429</v>
      </c>
      <c r="R34" s="989">
        <v>6.857142857142857</v>
      </c>
      <c r="S34" s="988">
        <f>AVERAGE(T34:T38)</f>
        <v>7.83974359</v>
      </c>
      <c r="T34" s="989">
        <v>7.769230769230769</v>
      </c>
      <c r="U34" s="709">
        <f>AVERAGE(V34:V38)</f>
        <v>8.046666667</v>
      </c>
      <c r="V34" s="987">
        <v>7.9</v>
      </c>
      <c r="W34" s="709">
        <f>AVERAGE(X34:X38)</f>
        <v>7.414545455</v>
      </c>
      <c r="X34" s="987">
        <v>7.25</v>
      </c>
      <c r="Y34" s="709">
        <f>AVERAGE(Z34:Z38)</f>
        <v>8.153333333</v>
      </c>
      <c r="Z34" s="990">
        <v>8.233333333333333</v>
      </c>
      <c r="AA34" s="988">
        <f>AVERAGE(AB34:AB38)</f>
        <v>7.905514706</v>
      </c>
      <c r="AB34" s="991">
        <v>7.46875</v>
      </c>
      <c r="AC34" s="709">
        <f>AVERAGE(AD34:AD38)</f>
        <v>7.842205882</v>
      </c>
      <c r="AD34" s="987">
        <v>7.647058823529412</v>
      </c>
      <c r="AE34" s="709">
        <f>AVERAGE(AF34:AF38)</f>
        <v>7.276515152</v>
      </c>
      <c r="AF34" s="987">
        <v>6.666666666666667</v>
      </c>
      <c r="AG34" s="709">
        <f>AVERAGE(AH34:AH38)</f>
        <v>7.662148962</v>
      </c>
      <c r="AH34" s="987">
        <v>7.615384615384615</v>
      </c>
      <c r="AI34" s="709">
        <f>AVERAGE(AJ34:AJ38)</f>
        <v>7.195555556</v>
      </c>
      <c r="AJ34" s="987">
        <v>7.0</v>
      </c>
      <c r="AK34" s="709">
        <f>AVERAGE(AL34:AL38)</f>
        <v>8.022051282</v>
      </c>
      <c r="AL34" s="987">
        <v>8.192307692307692</v>
      </c>
      <c r="AM34" s="709">
        <f>AVERAGE(AN34:AN38)</f>
        <v>7.88974359</v>
      </c>
      <c r="AN34" s="987">
        <v>8.423076923076923</v>
      </c>
      <c r="AO34" s="709">
        <f>AVERAGE(AP34:AP38)</f>
        <v>6.645454545</v>
      </c>
      <c r="AP34" s="987">
        <v>6.2727272727272725</v>
      </c>
      <c r="AQ34" s="988">
        <f>AVERAGE(AR34:AR38)</f>
        <v>8.016666667</v>
      </c>
      <c r="AR34" s="992">
        <v>7.083333333333333</v>
      </c>
      <c r="AS34" s="988">
        <f>AVERAGE(AT34:AT38)</f>
        <v>7.45</v>
      </c>
      <c r="AT34" s="992">
        <v>6.833333333333333</v>
      </c>
      <c r="AU34" s="988">
        <f>AVERAGE(AV34:AV38)</f>
        <v>7.853333333</v>
      </c>
      <c r="AV34" s="993">
        <v>7.6</v>
      </c>
      <c r="AW34" s="1009">
        <f>AVERAGE(AX34:AX38)</f>
        <v>7.911111111</v>
      </c>
      <c r="AX34" s="999">
        <v>7.444444444444445</v>
      </c>
      <c r="AY34" s="1010">
        <f>AVERAGE(AZ34:AZ38)</f>
        <v>7.806060606</v>
      </c>
      <c r="AZ34" s="999">
        <v>7.5</v>
      </c>
      <c r="BA34" s="980"/>
    </row>
    <row r="35" ht="52.5" customHeight="1">
      <c r="A35" s="61"/>
      <c r="B35" s="1022" t="s">
        <v>186</v>
      </c>
      <c r="C35" s="61"/>
      <c r="D35" s="986">
        <v>7.739130434782608</v>
      </c>
      <c r="E35" s="61"/>
      <c r="F35" s="987">
        <v>8.217391304347826</v>
      </c>
      <c r="G35" s="997"/>
      <c r="H35" s="989">
        <v>8.416666666666666</v>
      </c>
      <c r="I35" s="997"/>
      <c r="J35" s="989">
        <v>7.888888888888889</v>
      </c>
      <c r="K35" s="997"/>
      <c r="L35" s="989">
        <v>7.454545454545454</v>
      </c>
      <c r="M35" s="997"/>
      <c r="N35" s="989">
        <v>8.066666666666666</v>
      </c>
      <c r="O35" s="997"/>
      <c r="P35" s="989">
        <v>7.9</v>
      </c>
      <c r="Q35" s="997"/>
      <c r="R35" s="989">
        <v>7.285714285714286</v>
      </c>
      <c r="S35" s="997"/>
      <c r="T35" s="989">
        <v>8.083333333333334</v>
      </c>
      <c r="U35" s="61"/>
      <c r="V35" s="987">
        <v>8.0</v>
      </c>
      <c r="W35" s="61"/>
      <c r="X35" s="987">
        <v>7.45</v>
      </c>
      <c r="Y35" s="61"/>
      <c r="Z35" s="990">
        <v>8.066666666666666</v>
      </c>
      <c r="AA35" s="997"/>
      <c r="AB35" s="991">
        <v>7.9411764705882355</v>
      </c>
      <c r="AC35" s="61"/>
      <c r="AD35" s="987">
        <v>7.6875</v>
      </c>
      <c r="AE35" s="61"/>
      <c r="AF35" s="987">
        <v>7.0</v>
      </c>
      <c r="AG35" s="61"/>
      <c r="AH35" s="987">
        <v>7.846153846153846</v>
      </c>
      <c r="AI35" s="61"/>
      <c r="AJ35" s="987">
        <v>7.055555555555555</v>
      </c>
      <c r="AK35" s="61"/>
      <c r="AL35" s="987">
        <v>7.833333333333333</v>
      </c>
      <c r="AM35" s="61"/>
      <c r="AN35" s="987">
        <v>8.346153846153847</v>
      </c>
      <c r="AO35" s="61"/>
      <c r="AP35" s="987">
        <v>6.454545454545454</v>
      </c>
      <c r="AQ35" s="997"/>
      <c r="AR35" s="992">
        <v>8.416666666666666</v>
      </c>
      <c r="AS35" s="997"/>
      <c r="AT35" s="992">
        <v>7.75</v>
      </c>
      <c r="AU35" s="997"/>
      <c r="AV35" s="993">
        <v>7.9</v>
      </c>
      <c r="AW35" s="998"/>
      <c r="AX35" s="1003">
        <v>7.888888888888889</v>
      </c>
      <c r="AY35" s="1000"/>
      <c r="AZ35" s="1003">
        <v>7.916666666666667</v>
      </c>
      <c r="BA35" s="980"/>
    </row>
    <row r="36" ht="52.5" customHeight="1">
      <c r="A36" s="61"/>
      <c r="B36" s="1023" t="s">
        <v>63</v>
      </c>
      <c r="C36" s="61"/>
      <c r="D36" s="986">
        <v>8.478260869565217</v>
      </c>
      <c r="E36" s="61"/>
      <c r="F36" s="987">
        <v>8.0</v>
      </c>
      <c r="G36" s="997"/>
      <c r="H36" s="989">
        <v>7.916666666666667</v>
      </c>
      <c r="I36" s="997"/>
      <c r="J36" s="989">
        <v>8.0</v>
      </c>
      <c r="K36" s="997"/>
      <c r="L36" s="989">
        <v>7.4</v>
      </c>
      <c r="M36" s="997"/>
      <c r="N36" s="989">
        <v>7.636363636363637</v>
      </c>
      <c r="O36" s="997"/>
      <c r="P36" s="989">
        <v>7.375</v>
      </c>
      <c r="Q36" s="997"/>
      <c r="R36" s="989">
        <v>7.333333333333333</v>
      </c>
      <c r="S36" s="997"/>
      <c r="T36" s="989">
        <v>7.5</v>
      </c>
      <c r="U36" s="61"/>
      <c r="V36" s="987">
        <v>7.866666666666666</v>
      </c>
      <c r="W36" s="61"/>
      <c r="X36" s="987">
        <v>7.1</v>
      </c>
      <c r="Y36" s="61"/>
      <c r="Z36" s="990">
        <v>8.0</v>
      </c>
      <c r="AA36" s="997"/>
      <c r="AB36" s="991">
        <v>8.0</v>
      </c>
      <c r="AC36" s="61"/>
      <c r="AD36" s="987">
        <v>7.7</v>
      </c>
      <c r="AE36" s="61"/>
      <c r="AF36" s="987">
        <v>7.125</v>
      </c>
      <c r="AG36" s="61"/>
      <c r="AH36" s="987">
        <v>7.277777777777778</v>
      </c>
      <c r="AI36" s="61"/>
      <c r="AJ36" s="987">
        <v>7.166666666666667</v>
      </c>
      <c r="AK36" s="61"/>
      <c r="AL36" s="987">
        <v>7.7</v>
      </c>
      <c r="AM36" s="61"/>
      <c r="AN36" s="987">
        <v>7.333333333333333</v>
      </c>
      <c r="AO36" s="61"/>
      <c r="AP36" s="987">
        <v>6.5</v>
      </c>
      <c r="AQ36" s="997"/>
      <c r="AR36" s="992">
        <v>8.083333333333334</v>
      </c>
      <c r="AS36" s="997"/>
      <c r="AT36" s="992">
        <v>7.333333333333333</v>
      </c>
      <c r="AU36" s="997"/>
      <c r="AV36" s="993">
        <v>7.666666666666667</v>
      </c>
      <c r="AW36" s="998"/>
      <c r="AX36" s="1004">
        <v>8.333333333333334</v>
      </c>
      <c r="AY36" s="1000"/>
      <c r="AZ36" s="999">
        <v>7.363636363636363</v>
      </c>
      <c r="BA36" s="980"/>
    </row>
    <row r="37" ht="52.5" customHeight="1">
      <c r="A37" s="61"/>
      <c r="B37" s="1023" t="s">
        <v>187</v>
      </c>
      <c r="C37" s="61"/>
      <c r="D37" s="986">
        <v>7.913043478260869</v>
      </c>
      <c r="E37" s="61"/>
      <c r="F37" s="987">
        <v>7.913043478260869</v>
      </c>
      <c r="G37" s="997"/>
      <c r="H37" s="989">
        <v>8.25</v>
      </c>
      <c r="I37" s="997"/>
      <c r="J37" s="989">
        <v>8.222222222222221</v>
      </c>
      <c r="K37" s="997"/>
      <c r="L37" s="989">
        <v>8.0</v>
      </c>
      <c r="M37" s="997"/>
      <c r="N37" s="989">
        <v>8.785714285714286</v>
      </c>
      <c r="O37" s="997"/>
      <c r="P37" s="989">
        <v>7.5</v>
      </c>
      <c r="Q37" s="997"/>
      <c r="R37" s="989">
        <v>8.0</v>
      </c>
      <c r="S37" s="997"/>
      <c r="T37" s="989">
        <v>7.846153846153846</v>
      </c>
      <c r="U37" s="61"/>
      <c r="V37" s="987">
        <v>7.733333333333333</v>
      </c>
      <c r="W37" s="61"/>
      <c r="X37" s="987">
        <v>8.272727272727273</v>
      </c>
      <c r="Y37" s="61"/>
      <c r="Z37" s="990">
        <v>8.133333333333333</v>
      </c>
      <c r="AA37" s="997"/>
      <c r="AB37" s="991">
        <v>7.9411764705882355</v>
      </c>
      <c r="AC37" s="61"/>
      <c r="AD37" s="987">
        <v>7.882352941176471</v>
      </c>
      <c r="AE37" s="61"/>
      <c r="AF37" s="987">
        <v>8.090909090909092</v>
      </c>
      <c r="AG37" s="61"/>
      <c r="AH37" s="987">
        <v>7.785714285714286</v>
      </c>
      <c r="AI37" s="61"/>
      <c r="AJ37" s="987">
        <v>7.555555555555555</v>
      </c>
      <c r="AK37" s="61"/>
      <c r="AL37" s="987">
        <v>8.23076923076923</v>
      </c>
      <c r="AM37" s="61"/>
      <c r="AN37" s="987">
        <v>7.5</v>
      </c>
      <c r="AO37" s="61"/>
      <c r="AP37" s="987">
        <v>7.6</v>
      </c>
      <c r="AQ37" s="997"/>
      <c r="AR37" s="992">
        <v>8.166666666666666</v>
      </c>
      <c r="AS37" s="997"/>
      <c r="AT37" s="992">
        <v>8.0</v>
      </c>
      <c r="AU37" s="997"/>
      <c r="AV37" s="993">
        <v>8.1</v>
      </c>
      <c r="AW37" s="998"/>
      <c r="AX37" s="1004">
        <v>8.222222222222221</v>
      </c>
      <c r="AY37" s="1000"/>
      <c r="AZ37" s="1004">
        <v>8.333333333333334</v>
      </c>
      <c r="BA37" s="980"/>
    </row>
    <row r="38" ht="52.5" customHeight="1">
      <c r="A38" s="69"/>
      <c r="B38" s="1023" t="s">
        <v>65</v>
      </c>
      <c r="C38" s="69"/>
      <c r="D38" s="1024">
        <v>9.08695652173913</v>
      </c>
      <c r="E38" s="69"/>
      <c r="F38" s="1025">
        <v>8.91304347826087</v>
      </c>
      <c r="G38" s="1005"/>
      <c r="H38" s="989">
        <v>8.818181818181818</v>
      </c>
      <c r="I38" s="1005"/>
      <c r="J38" s="989">
        <v>7.777777777777778</v>
      </c>
      <c r="K38" s="1005"/>
      <c r="L38" s="989">
        <v>7.2</v>
      </c>
      <c r="M38" s="1005"/>
      <c r="N38" s="989">
        <v>8.642857142857142</v>
      </c>
      <c r="O38" s="1005"/>
      <c r="P38" s="989">
        <v>8.4</v>
      </c>
      <c r="Q38" s="1005"/>
      <c r="R38" s="989">
        <v>7.166666666666667</v>
      </c>
      <c r="S38" s="1005"/>
      <c r="T38" s="989">
        <v>8.0</v>
      </c>
      <c r="U38" s="69"/>
      <c r="V38" s="987">
        <v>8.733333333333333</v>
      </c>
      <c r="W38" s="69"/>
      <c r="X38" s="987">
        <v>7.0</v>
      </c>
      <c r="Y38" s="69"/>
      <c r="Z38" s="990">
        <v>8.333333333333334</v>
      </c>
      <c r="AA38" s="1005"/>
      <c r="AB38" s="991">
        <v>8.176470588235293</v>
      </c>
      <c r="AC38" s="69"/>
      <c r="AD38" s="987">
        <v>8.294117647058824</v>
      </c>
      <c r="AE38" s="69"/>
      <c r="AF38" s="987">
        <v>7.5</v>
      </c>
      <c r="AG38" s="69"/>
      <c r="AH38" s="987">
        <v>7.785714285714286</v>
      </c>
      <c r="AI38" s="69"/>
      <c r="AJ38" s="987">
        <v>7.2</v>
      </c>
      <c r="AK38" s="69"/>
      <c r="AL38" s="987">
        <v>8.153846153846153</v>
      </c>
      <c r="AM38" s="69"/>
      <c r="AN38" s="987">
        <v>7.846153846153846</v>
      </c>
      <c r="AO38" s="69"/>
      <c r="AP38" s="987">
        <v>6.4</v>
      </c>
      <c r="AQ38" s="1005"/>
      <c r="AR38" s="1026">
        <v>8.333333333333334</v>
      </c>
      <c r="AS38" s="1005"/>
      <c r="AT38" s="992">
        <v>7.333333333333333</v>
      </c>
      <c r="AU38" s="1005"/>
      <c r="AV38" s="993">
        <v>8.0</v>
      </c>
      <c r="AW38" s="1006"/>
      <c r="AX38" s="1003">
        <v>7.666666666666667</v>
      </c>
      <c r="AY38" s="315"/>
      <c r="AZ38" s="1003">
        <v>7.916666666666667</v>
      </c>
      <c r="BA38" s="980"/>
    </row>
    <row r="39" ht="26.25" customHeight="1">
      <c r="A39" s="1027"/>
      <c r="B39" s="1028"/>
      <c r="C39" s="1029" t="s">
        <v>188</v>
      </c>
      <c r="D39" s="709">
        <f>AVERAGE(D3:D38)</f>
        <v>8.094165209</v>
      </c>
      <c r="E39" s="1029" t="s">
        <v>188</v>
      </c>
      <c r="F39" s="709">
        <f>AVERAGE(F3:F38)</f>
        <v>8.089578693</v>
      </c>
      <c r="G39" s="1030" t="s">
        <v>188</v>
      </c>
      <c r="H39" s="709">
        <f>AVERAGE(H3:H38)</f>
        <v>8.216287879</v>
      </c>
      <c r="I39" s="1030" t="s">
        <v>188</v>
      </c>
      <c r="J39" s="709">
        <f>AVERAGE(J3:J38)</f>
        <v>7.826774691</v>
      </c>
      <c r="K39" s="1030" t="s">
        <v>188</v>
      </c>
      <c r="L39" s="1031">
        <f>AVERAGE(L3:L38)</f>
        <v>7.403282828</v>
      </c>
      <c r="M39" s="1030" t="s">
        <v>188</v>
      </c>
      <c r="N39" s="709">
        <f>AVERAGE(N3:N38)</f>
        <v>7.957888408</v>
      </c>
      <c r="O39" s="1030" t="s">
        <v>188</v>
      </c>
      <c r="P39" s="709">
        <f>AVERAGE(P3:P38)</f>
        <v>7.904861111</v>
      </c>
      <c r="Q39" s="1030" t="s">
        <v>188</v>
      </c>
      <c r="R39" s="709">
        <f>AVERAGE(R3:R38)</f>
        <v>7.262566138</v>
      </c>
      <c r="S39" s="1030" t="s">
        <v>188</v>
      </c>
      <c r="T39" s="709">
        <f>AVERAGE(T3:T38)</f>
        <v>8.077635328</v>
      </c>
      <c r="U39" s="1029" t="s">
        <v>188</v>
      </c>
      <c r="V39" s="709">
        <f>AVERAGE(V3:V38)</f>
        <v>7.953282828</v>
      </c>
      <c r="W39" s="1029" t="s">
        <v>188</v>
      </c>
      <c r="X39" s="709">
        <f>AVERAGE(X3:X38)</f>
        <v>7.392171717</v>
      </c>
      <c r="Y39" s="1029" t="s">
        <v>188</v>
      </c>
      <c r="Z39" s="1031">
        <f>AVERAGE(Z3:Z38)</f>
        <v>8.200661376</v>
      </c>
      <c r="AA39" s="1032" t="s">
        <v>188</v>
      </c>
      <c r="AB39" s="988">
        <f>AVERAGE(AB3:AB38)</f>
        <v>7.994839325</v>
      </c>
      <c r="AC39" s="1029" t="s">
        <v>188</v>
      </c>
      <c r="AD39" s="709">
        <f>AVERAGE(AD3:AD38)</f>
        <v>7.903737745</v>
      </c>
      <c r="AE39" s="1029" t="s">
        <v>188</v>
      </c>
      <c r="AF39" s="709">
        <f>AVERAGE(AF3:AF38)</f>
        <v>7.433873457</v>
      </c>
      <c r="AG39" s="1029" t="s">
        <v>188</v>
      </c>
      <c r="AH39" s="709">
        <f>AVERAGE(AH3:AH38)</f>
        <v>7.503840296</v>
      </c>
      <c r="AI39" s="1029" t="s">
        <v>188</v>
      </c>
      <c r="AJ39" s="709">
        <f>AVERAGE(AJ3:AJ38)</f>
        <v>7.373765432</v>
      </c>
      <c r="AK39" s="1029" t="s">
        <v>188</v>
      </c>
      <c r="AL39" s="709">
        <f>AVERAGE(AL3:AL38)</f>
        <v>7.982763533</v>
      </c>
      <c r="AM39" s="1029" t="s">
        <v>188</v>
      </c>
      <c r="AN39" s="709">
        <f>AVERAGE(AN3:AN38)</f>
        <v>7.863603989</v>
      </c>
      <c r="AO39" s="1029" t="s">
        <v>188</v>
      </c>
      <c r="AP39" s="709">
        <f>AVERAGE(AP3:AP38)</f>
        <v>6.697138047</v>
      </c>
      <c r="AQ39" s="1032" t="s">
        <v>188</v>
      </c>
      <c r="AR39" s="988">
        <f>AVERAGE(AR3:AR38)</f>
        <v>8.004840067</v>
      </c>
      <c r="AS39" s="1033" t="s">
        <v>188</v>
      </c>
      <c r="AT39" s="1034">
        <f>AVERAGE(AT3:AT38)</f>
        <v>7.378661616</v>
      </c>
      <c r="AU39" s="1032" t="s">
        <v>188</v>
      </c>
      <c r="AV39" s="1034">
        <f>AVERAGE(AV3:AV38)</f>
        <v>7.861188272</v>
      </c>
      <c r="AW39" s="1035" t="s">
        <v>188</v>
      </c>
      <c r="AX39" s="1010">
        <f>AVERAGE(AX3:AX38)</f>
        <v>7.913966049</v>
      </c>
      <c r="AY39" s="1036" t="s">
        <v>188</v>
      </c>
      <c r="AZ39" s="1010">
        <f>AVERAGE(AZ3:AZ38)</f>
        <v>7.877104377</v>
      </c>
      <c r="BA39" s="980"/>
    </row>
    <row r="40" ht="26.25" customHeight="1">
      <c r="A40" s="977"/>
      <c r="B40" s="978"/>
      <c r="C40" s="69"/>
      <c r="D40" s="69"/>
      <c r="E40" s="69"/>
      <c r="F40" s="69"/>
      <c r="G40" s="69"/>
      <c r="H40" s="69"/>
      <c r="I40" s="69"/>
      <c r="J40" s="69"/>
      <c r="K40" s="69"/>
      <c r="L40" s="69"/>
      <c r="M40" s="69"/>
      <c r="N40" s="69"/>
      <c r="O40" s="69"/>
      <c r="P40" s="69"/>
      <c r="Q40" s="69"/>
      <c r="R40" s="69"/>
      <c r="S40" s="69"/>
      <c r="T40" s="69"/>
      <c r="U40" s="69"/>
      <c r="V40" s="69"/>
      <c r="W40" s="69"/>
      <c r="X40" s="69"/>
      <c r="Y40" s="69"/>
      <c r="Z40" s="69"/>
      <c r="AA40" s="1005"/>
      <c r="AB40" s="1005"/>
      <c r="AC40" s="69"/>
      <c r="AD40" s="69"/>
      <c r="AE40" s="69"/>
      <c r="AF40" s="69"/>
      <c r="AG40" s="69"/>
      <c r="AH40" s="69"/>
      <c r="AI40" s="69"/>
      <c r="AJ40" s="69"/>
      <c r="AK40" s="69"/>
      <c r="AL40" s="69"/>
      <c r="AM40" s="69"/>
      <c r="AN40" s="69"/>
      <c r="AO40" s="69"/>
      <c r="AP40" s="69"/>
      <c r="AQ40" s="1005"/>
      <c r="AR40" s="1005"/>
      <c r="AS40" s="752"/>
      <c r="AT40" s="1037"/>
      <c r="AU40" s="1005"/>
      <c r="AV40" s="1037"/>
      <c r="AW40" s="1006"/>
      <c r="AX40" s="315"/>
      <c r="AY40" s="315"/>
      <c r="AZ40" s="315"/>
      <c r="BA40" s="980"/>
    </row>
    <row r="41" ht="25.5" customHeight="1">
      <c r="A41" s="977"/>
      <c r="B41" s="978"/>
      <c r="C41" s="978"/>
      <c r="D41" s="978"/>
      <c r="E41" s="978"/>
      <c r="F41" s="978"/>
      <c r="G41" s="978"/>
      <c r="H41" s="978"/>
      <c r="I41" s="978"/>
      <c r="J41" s="978"/>
      <c r="K41" s="978"/>
      <c r="L41" s="978"/>
      <c r="M41" s="978"/>
      <c r="N41" s="978"/>
      <c r="O41" s="978"/>
      <c r="P41" s="978"/>
      <c r="Q41" s="978"/>
      <c r="R41" s="978"/>
      <c r="S41" s="978"/>
      <c r="T41" s="978"/>
      <c r="U41" s="978"/>
      <c r="V41" s="978"/>
      <c r="W41" s="978"/>
      <c r="X41" s="978"/>
      <c r="Y41" s="978"/>
      <c r="Z41" s="978"/>
      <c r="AA41" s="978"/>
      <c r="AB41" s="978"/>
      <c r="AC41" s="978"/>
      <c r="AD41" s="978"/>
      <c r="AE41" s="978"/>
      <c r="AF41" s="978"/>
      <c r="AG41" s="978"/>
      <c r="AH41" s="978"/>
      <c r="AI41" s="978"/>
      <c r="AJ41" s="978"/>
      <c r="AK41" s="978"/>
      <c r="AL41" s="978"/>
      <c r="AM41" s="978"/>
      <c r="AN41" s="978"/>
      <c r="AO41" s="978"/>
      <c r="AP41" s="978"/>
      <c r="AQ41" s="978"/>
      <c r="AR41" s="978"/>
      <c r="AS41" s="978"/>
      <c r="AT41" s="978"/>
      <c r="AU41" s="978"/>
      <c r="AV41" s="978"/>
      <c r="AW41" s="978"/>
      <c r="AX41" s="978"/>
      <c r="AY41" s="978"/>
      <c r="AZ41" s="978"/>
      <c r="BA41" s="980"/>
    </row>
    <row r="42">
      <c r="A42" s="977"/>
      <c r="B42" s="1038" t="s">
        <v>70</v>
      </c>
      <c r="C42" s="1039" t="s">
        <v>530</v>
      </c>
      <c r="D42" s="315"/>
      <c r="E42" s="1039" t="s">
        <v>531</v>
      </c>
      <c r="F42" s="315"/>
      <c r="G42" s="1039" t="s">
        <v>532</v>
      </c>
      <c r="H42" s="315"/>
      <c r="I42" s="1039" t="s">
        <v>533</v>
      </c>
      <c r="J42" s="315"/>
      <c r="K42" s="1039" t="s">
        <v>534</v>
      </c>
      <c r="L42" s="315"/>
      <c r="M42" s="1039" t="s">
        <v>535</v>
      </c>
      <c r="N42" s="315"/>
      <c r="O42" s="1040" t="s">
        <v>536</v>
      </c>
      <c r="P42" s="160"/>
      <c r="Q42" s="1040" t="s">
        <v>537</v>
      </c>
      <c r="R42" s="160"/>
      <c r="S42" s="1041" t="s">
        <v>538</v>
      </c>
      <c r="T42" s="161"/>
      <c r="U42" s="1042" t="s">
        <v>539</v>
      </c>
      <c r="V42" s="315"/>
      <c r="W42" s="1039" t="s">
        <v>540</v>
      </c>
      <c r="X42" s="315"/>
      <c r="Y42" s="1039" t="s">
        <v>541</v>
      </c>
      <c r="Z42" s="315"/>
      <c r="AA42" s="1039" t="s">
        <v>542</v>
      </c>
      <c r="AB42" s="315"/>
      <c r="AC42" s="1039" t="s">
        <v>543</v>
      </c>
      <c r="AD42" s="315"/>
      <c r="AE42" s="1039" t="s">
        <v>544</v>
      </c>
      <c r="AF42" s="315"/>
      <c r="AG42" s="1039" t="s">
        <v>545</v>
      </c>
      <c r="AH42" s="315"/>
      <c r="AI42" s="1039" t="s">
        <v>546</v>
      </c>
      <c r="AJ42" s="315"/>
      <c r="AK42" s="1039" t="s">
        <v>547</v>
      </c>
      <c r="AL42" s="315"/>
      <c r="AM42" s="1039" t="s">
        <v>548</v>
      </c>
      <c r="AN42" s="315"/>
      <c r="AO42" s="1039" t="s">
        <v>549</v>
      </c>
      <c r="AP42" s="315"/>
      <c r="AQ42" s="1039" t="s">
        <v>550</v>
      </c>
      <c r="AR42" s="315"/>
      <c r="AS42" s="1039" t="s">
        <v>551</v>
      </c>
      <c r="AT42" s="315"/>
      <c r="AU42" s="1039" t="s">
        <v>552</v>
      </c>
      <c r="AV42" s="315"/>
      <c r="AW42" s="1039" t="s">
        <v>553</v>
      </c>
      <c r="AX42" s="315"/>
      <c r="AY42" s="1043" t="s">
        <v>554</v>
      </c>
      <c r="BA42" s="980"/>
    </row>
    <row r="43">
      <c r="A43" s="977"/>
      <c r="B43" s="1044" t="s">
        <v>73</v>
      </c>
      <c r="C43" s="1045" t="s">
        <v>555</v>
      </c>
      <c r="D43" s="311"/>
      <c r="E43" s="1045" t="s">
        <v>556</v>
      </c>
      <c r="F43" s="311"/>
      <c r="G43" s="1045" t="s">
        <v>557</v>
      </c>
      <c r="H43" s="311"/>
      <c r="I43" s="1045" t="s">
        <v>558</v>
      </c>
      <c r="J43" s="311"/>
      <c r="K43" s="1045" t="s">
        <v>559</v>
      </c>
      <c r="L43" s="311"/>
      <c r="M43" s="1045" t="s">
        <v>560</v>
      </c>
      <c r="N43" s="311"/>
      <c r="O43" s="1040" t="s">
        <v>561</v>
      </c>
      <c r="P43" s="160"/>
      <c r="Q43" s="1040" t="s">
        <v>562</v>
      </c>
      <c r="R43" s="160"/>
      <c r="S43" s="1041" t="s">
        <v>563</v>
      </c>
      <c r="T43" s="161"/>
      <c r="U43" s="1046" t="s">
        <v>564</v>
      </c>
      <c r="V43" s="311"/>
      <c r="W43" s="1045" t="s">
        <v>565</v>
      </c>
      <c r="X43" s="311"/>
      <c r="Y43" s="1045" t="s">
        <v>566</v>
      </c>
      <c r="Z43" s="311"/>
      <c r="AA43" s="1045" t="s">
        <v>567</v>
      </c>
      <c r="AB43" s="311"/>
      <c r="AC43" s="1045" t="s">
        <v>568</v>
      </c>
      <c r="AD43" s="311"/>
      <c r="AE43" s="1045" t="s">
        <v>569</v>
      </c>
      <c r="AF43" s="311"/>
      <c r="AG43" s="1045" t="s">
        <v>570</v>
      </c>
      <c r="AH43" s="311"/>
      <c r="AI43" s="1045" t="s">
        <v>571</v>
      </c>
      <c r="AJ43" s="311"/>
      <c r="AK43" s="1045" t="s">
        <v>572</v>
      </c>
      <c r="AL43" s="311"/>
      <c r="AM43" s="1045" t="s">
        <v>573</v>
      </c>
      <c r="AN43" s="311"/>
      <c r="AO43" s="1045" t="s">
        <v>574</v>
      </c>
      <c r="AP43" s="311"/>
      <c r="AQ43" s="1045" t="s">
        <v>575</v>
      </c>
      <c r="AR43" s="311"/>
      <c r="AS43" s="1045" t="s">
        <v>576</v>
      </c>
      <c r="AT43" s="311"/>
      <c r="AU43" s="1045" t="s">
        <v>577</v>
      </c>
      <c r="AV43" s="311"/>
      <c r="AW43" s="1045" t="s">
        <v>578</v>
      </c>
      <c r="AX43" s="311"/>
      <c r="AY43" s="1043" t="s">
        <v>579</v>
      </c>
      <c r="BA43" s="980"/>
    </row>
    <row r="44">
      <c r="A44" s="977"/>
      <c r="B44" s="978"/>
      <c r="C44" s="978"/>
      <c r="D44" s="978"/>
      <c r="E44" s="978"/>
      <c r="F44" s="978"/>
      <c r="G44" s="978"/>
      <c r="H44" s="978"/>
      <c r="I44" s="978"/>
      <c r="J44" s="978"/>
      <c r="K44" s="978"/>
      <c r="L44" s="978"/>
      <c r="M44" s="978"/>
      <c r="N44" s="978"/>
      <c r="O44" s="978"/>
      <c r="P44" s="978"/>
      <c r="Q44" s="978"/>
      <c r="R44" s="978"/>
      <c r="S44" s="978"/>
      <c r="T44" s="978"/>
      <c r="U44" s="978"/>
      <c r="V44" s="978"/>
      <c r="W44" s="978"/>
      <c r="X44" s="978"/>
      <c r="Y44" s="978"/>
      <c r="Z44" s="978"/>
      <c r="AA44" s="978"/>
      <c r="AB44" s="978"/>
      <c r="AC44" s="978"/>
      <c r="AD44" s="978"/>
      <c r="AE44" s="978"/>
      <c r="AF44" s="978"/>
      <c r="AG44" s="978"/>
      <c r="AH44" s="978"/>
      <c r="AI44" s="978"/>
      <c r="AJ44" s="978"/>
      <c r="AK44" s="978"/>
      <c r="AL44" s="978"/>
      <c r="AM44" s="978"/>
      <c r="AN44" s="978"/>
      <c r="AO44" s="978"/>
      <c r="AP44" s="978"/>
      <c r="AQ44" s="978"/>
      <c r="AR44" s="978"/>
      <c r="AS44" s="978"/>
      <c r="AT44" s="978"/>
      <c r="AU44" s="978"/>
      <c r="AV44" s="978"/>
      <c r="AW44" s="978"/>
      <c r="AX44" s="978"/>
      <c r="AY44" s="978"/>
      <c r="AZ44" s="978"/>
      <c r="BA44" s="980"/>
    </row>
    <row r="45">
      <c r="A45" s="977"/>
      <c r="B45" s="978"/>
      <c r="C45" s="978"/>
      <c r="D45" s="978"/>
      <c r="E45" s="978"/>
      <c r="F45" s="978"/>
      <c r="G45" s="978"/>
      <c r="H45" s="978"/>
      <c r="I45" s="978"/>
      <c r="J45" s="978"/>
      <c r="K45" s="978"/>
      <c r="L45" s="978"/>
      <c r="M45" s="978"/>
      <c r="N45" s="978"/>
      <c r="O45" s="978"/>
      <c r="P45" s="978"/>
      <c r="Q45" s="978"/>
      <c r="R45" s="978"/>
      <c r="S45" s="978"/>
      <c r="T45" s="978"/>
      <c r="U45" s="978"/>
      <c r="V45" s="978"/>
      <c r="W45" s="978"/>
      <c r="X45" s="978"/>
      <c r="Y45" s="978"/>
      <c r="Z45" s="978"/>
      <c r="AA45" s="978"/>
      <c r="AB45" s="978"/>
      <c r="AC45" s="978"/>
      <c r="AD45" s="978"/>
      <c r="AE45" s="978"/>
      <c r="AF45" s="978"/>
      <c r="AG45" s="978"/>
      <c r="AH45" s="978"/>
      <c r="AI45" s="978"/>
      <c r="AJ45" s="978"/>
      <c r="AK45" s="978"/>
      <c r="AL45" s="978"/>
      <c r="AM45" s="978"/>
      <c r="AN45" s="978"/>
      <c r="AO45" s="978"/>
      <c r="AP45" s="978"/>
      <c r="AQ45" s="978"/>
      <c r="AR45" s="978"/>
      <c r="AS45" s="978"/>
      <c r="AT45" s="978"/>
      <c r="AU45" s="978"/>
      <c r="AV45" s="978"/>
      <c r="AW45" s="978"/>
      <c r="AX45" s="978"/>
      <c r="AY45" s="978"/>
      <c r="AZ45" s="978"/>
      <c r="BA45" s="980"/>
    </row>
  </sheetData>
  <mergeCells count="281">
    <mergeCell ref="A3:A7"/>
    <mergeCell ref="E3:E7"/>
    <mergeCell ref="I3:I7"/>
    <mergeCell ref="M3:M7"/>
    <mergeCell ref="A8:A17"/>
    <mergeCell ref="E8:E17"/>
    <mergeCell ref="I8:I17"/>
    <mergeCell ref="AO8:AO17"/>
    <mergeCell ref="AQ8:AQ17"/>
    <mergeCell ref="AS8:AS17"/>
    <mergeCell ref="AU8:AU17"/>
    <mergeCell ref="AW8:AW17"/>
    <mergeCell ref="AY8:AY17"/>
    <mergeCell ref="AA8:AA17"/>
    <mergeCell ref="AC8:AC17"/>
    <mergeCell ref="AE8:AE17"/>
    <mergeCell ref="AG8:AG17"/>
    <mergeCell ref="AI8:AI17"/>
    <mergeCell ref="AK8:AK17"/>
    <mergeCell ref="AM8:AM17"/>
    <mergeCell ref="M8:M17"/>
    <mergeCell ref="O8:O17"/>
    <mergeCell ref="Q8:Q17"/>
    <mergeCell ref="S8:S17"/>
    <mergeCell ref="U8:U17"/>
    <mergeCell ref="W8:W17"/>
    <mergeCell ref="Y8:Y17"/>
    <mergeCell ref="C3:C7"/>
    <mergeCell ref="C8:C17"/>
    <mergeCell ref="A18:A22"/>
    <mergeCell ref="C18:C22"/>
    <mergeCell ref="E18:E22"/>
    <mergeCell ref="C23:C27"/>
    <mergeCell ref="E23:E27"/>
    <mergeCell ref="A23:A27"/>
    <mergeCell ref="A28:A33"/>
    <mergeCell ref="C28:C33"/>
    <mergeCell ref="E28:E33"/>
    <mergeCell ref="M28:M33"/>
    <mergeCell ref="O28:O33"/>
    <mergeCell ref="Q28:Q33"/>
    <mergeCell ref="AU28:AU33"/>
    <mergeCell ref="AW28:AW33"/>
    <mergeCell ref="AY28:AY33"/>
    <mergeCell ref="AO18:AO22"/>
    <mergeCell ref="AO23:AO27"/>
    <mergeCell ref="AK28:AK33"/>
    <mergeCell ref="AM28:AM33"/>
    <mergeCell ref="AO28:AO33"/>
    <mergeCell ref="AQ28:AQ33"/>
    <mergeCell ref="AS28:AS33"/>
    <mergeCell ref="AG39:AG40"/>
    <mergeCell ref="AH39:AH40"/>
    <mergeCell ref="Z39:Z40"/>
    <mergeCell ref="AA39:AA40"/>
    <mergeCell ref="AB39:AB40"/>
    <mergeCell ref="AC39:AC40"/>
    <mergeCell ref="AD39:AD40"/>
    <mergeCell ref="AE39:AE40"/>
    <mergeCell ref="AF39:AF40"/>
    <mergeCell ref="AP39:AP40"/>
    <mergeCell ref="AQ39:AQ40"/>
    <mergeCell ref="AI39:AI40"/>
    <mergeCell ref="AJ39:AJ40"/>
    <mergeCell ref="AK39:AK40"/>
    <mergeCell ref="AL39:AL40"/>
    <mergeCell ref="AM39:AM40"/>
    <mergeCell ref="AN39:AN40"/>
    <mergeCell ref="AO39:AO40"/>
    <mergeCell ref="G3:G7"/>
    <mergeCell ref="G8:G17"/>
    <mergeCell ref="G18:G22"/>
    <mergeCell ref="I18:I22"/>
    <mergeCell ref="G23:G27"/>
    <mergeCell ref="I23:I27"/>
    <mergeCell ref="G28:G33"/>
    <mergeCell ref="K34:K38"/>
    <mergeCell ref="M34:M38"/>
    <mergeCell ref="O34:O38"/>
    <mergeCell ref="Q34:Q38"/>
    <mergeCell ref="S34:S38"/>
    <mergeCell ref="U34:U38"/>
    <mergeCell ref="W34:W38"/>
    <mergeCell ref="I28:I33"/>
    <mergeCell ref="K28:K33"/>
    <mergeCell ref="A34:A38"/>
    <mergeCell ref="C34:C38"/>
    <mergeCell ref="E34:E38"/>
    <mergeCell ref="G34:G38"/>
    <mergeCell ref="I34:I38"/>
    <mergeCell ref="C39:C40"/>
    <mergeCell ref="D39:D40"/>
    <mergeCell ref="E39:E40"/>
    <mergeCell ref="F39:F40"/>
    <mergeCell ref="G39:G40"/>
    <mergeCell ref="H39:H40"/>
    <mergeCell ref="I39:I40"/>
    <mergeCell ref="J39:J40"/>
    <mergeCell ref="K39:K40"/>
    <mergeCell ref="L39:L40"/>
    <mergeCell ref="M39:M40"/>
    <mergeCell ref="N39:N40"/>
    <mergeCell ref="O39:O40"/>
    <mergeCell ref="P39:P40"/>
    <mergeCell ref="Y34:Y38"/>
    <mergeCell ref="AA34:AA38"/>
    <mergeCell ref="AC34:AC38"/>
    <mergeCell ref="AE34:AE38"/>
    <mergeCell ref="AG34:AG38"/>
    <mergeCell ref="AI34:AI38"/>
    <mergeCell ref="AK34:AK38"/>
    <mergeCell ref="AR39:AR40"/>
    <mergeCell ref="AS39:AS40"/>
    <mergeCell ref="AT39:AT40"/>
    <mergeCell ref="AU39:AU40"/>
    <mergeCell ref="AV39:AV40"/>
    <mergeCell ref="AW39:AW40"/>
    <mergeCell ref="AX39:AX40"/>
    <mergeCell ref="AY39:AY40"/>
    <mergeCell ref="AM34:AM38"/>
    <mergeCell ref="AO34:AO38"/>
    <mergeCell ref="AQ34:AQ38"/>
    <mergeCell ref="AS34:AS38"/>
    <mergeCell ref="AU34:AU38"/>
    <mergeCell ref="AW34:AW38"/>
    <mergeCell ref="AY34:AY38"/>
    <mergeCell ref="AW43:AX43"/>
    <mergeCell ref="AY43:AZ43"/>
    <mergeCell ref="AI43:AJ43"/>
    <mergeCell ref="AK43:AL43"/>
    <mergeCell ref="AM43:AN43"/>
    <mergeCell ref="AO43:AP43"/>
    <mergeCell ref="AQ43:AR43"/>
    <mergeCell ref="AS43:AT43"/>
    <mergeCell ref="AU43:AV43"/>
    <mergeCell ref="X39:X40"/>
    <mergeCell ref="Y39:Y40"/>
    <mergeCell ref="AZ39:AZ40"/>
    <mergeCell ref="Q39:Q40"/>
    <mergeCell ref="R39:R40"/>
    <mergeCell ref="S39:S40"/>
    <mergeCell ref="T39:T40"/>
    <mergeCell ref="U39:U40"/>
    <mergeCell ref="V39:V40"/>
    <mergeCell ref="W39:W40"/>
    <mergeCell ref="Q42:R42"/>
    <mergeCell ref="S42:T42"/>
    <mergeCell ref="U42:V42"/>
    <mergeCell ref="W42:X42"/>
    <mergeCell ref="Y42:Z42"/>
    <mergeCell ref="AA42:AB42"/>
    <mergeCell ref="AC42:AD42"/>
    <mergeCell ref="AS42:AT42"/>
    <mergeCell ref="AU42:AV42"/>
    <mergeCell ref="AW42:AX42"/>
    <mergeCell ref="AY42:AZ42"/>
    <mergeCell ref="C42:D42"/>
    <mergeCell ref="E42:F42"/>
    <mergeCell ref="G42:H42"/>
    <mergeCell ref="I42:J42"/>
    <mergeCell ref="K42:L42"/>
    <mergeCell ref="M42:N42"/>
    <mergeCell ref="O42:P42"/>
    <mergeCell ref="C43:D43"/>
    <mergeCell ref="E43:F43"/>
    <mergeCell ref="G43:H43"/>
    <mergeCell ref="I43:J43"/>
    <mergeCell ref="K43:L43"/>
    <mergeCell ref="M43:N43"/>
    <mergeCell ref="O43:P43"/>
    <mergeCell ref="AE42:AF42"/>
    <mergeCell ref="AG42:AH42"/>
    <mergeCell ref="AI42:AJ42"/>
    <mergeCell ref="AK42:AL42"/>
    <mergeCell ref="AM42:AN42"/>
    <mergeCell ref="AO42:AP42"/>
    <mergeCell ref="AQ42:AR42"/>
    <mergeCell ref="Q1:R1"/>
    <mergeCell ref="S1:T1"/>
    <mergeCell ref="U1:V1"/>
    <mergeCell ref="W1:X1"/>
    <mergeCell ref="Y1:Z1"/>
    <mergeCell ref="AA1:AB1"/>
    <mergeCell ref="AC1:AD1"/>
    <mergeCell ref="AS1:AT1"/>
    <mergeCell ref="AU1:AV1"/>
    <mergeCell ref="AW1:AX1"/>
    <mergeCell ref="AY1:AZ1"/>
    <mergeCell ref="AE1:AF1"/>
    <mergeCell ref="AG1:AH1"/>
    <mergeCell ref="AI1:AJ1"/>
    <mergeCell ref="AK1:AL1"/>
    <mergeCell ref="AM1:AN1"/>
    <mergeCell ref="AO1:AP1"/>
    <mergeCell ref="AQ1:AR1"/>
    <mergeCell ref="C1:D1"/>
    <mergeCell ref="E1:F1"/>
    <mergeCell ref="G1:H1"/>
    <mergeCell ref="I1:J1"/>
    <mergeCell ref="K1:L1"/>
    <mergeCell ref="M1:N1"/>
    <mergeCell ref="O1:P1"/>
    <mergeCell ref="O3:O7"/>
    <mergeCell ref="Q3:Q7"/>
    <mergeCell ref="S3:S7"/>
    <mergeCell ref="U3:U7"/>
    <mergeCell ref="W3:W7"/>
    <mergeCell ref="Y3:Y7"/>
    <mergeCell ref="AA3:AA7"/>
    <mergeCell ref="AQ3:AQ7"/>
    <mergeCell ref="AS3:AS7"/>
    <mergeCell ref="AU3:AU7"/>
    <mergeCell ref="AW3:AW7"/>
    <mergeCell ref="AY3:AY7"/>
    <mergeCell ref="AC3:AC7"/>
    <mergeCell ref="AE3:AE7"/>
    <mergeCell ref="AG3:AG7"/>
    <mergeCell ref="AI3:AI7"/>
    <mergeCell ref="AK3:AK7"/>
    <mergeCell ref="AM3:AM7"/>
    <mergeCell ref="AO3:AO7"/>
    <mergeCell ref="AI18:AI22"/>
    <mergeCell ref="AK18:AK22"/>
    <mergeCell ref="U18:U22"/>
    <mergeCell ref="W18:W22"/>
    <mergeCell ref="Y18:Y22"/>
    <mergeCell ref="AA18:AA22"/>
    <mergeCell ref="AC18:AC22"/>
    <mergeCell ref="AE18:AE22"/>
    <mergeCell ref="AG18:AG22"/>
    <mergeCell ref="M18:M22"/>
    <mergeCell ref="M23:M27"/>
    <mergeCell ref="Q18:Q22"/>
    <mergeCell ref="Q23:Q27"/>
    <mergeCell ref="K3:K7"/>
    <mergeCell ref="K8:K17"/>
    <mergeCell ref="K18:K22"/>
    <mergeCell ref="O18:O22"/>
    <mergeCell ref="S18:S22"/>
    <mergeCell ref="K23:K27"/>
    <mergeCell ref="O23:O27"/>
    <mergeCell ref="S23:S27"/>
    <mergeCell ref="AI23:AI27"/>
    <mergeCell ref="AK23:AK27"/>
    <mergeCell ref="U23:U27"/>
    <mergeCell ref="W23:W27"/>
    <mergeCell ref="Y23:Y27"/>
    <mergeCell ref="AA23:AA27"/>
    <mergeCell ref="AC23:AC27"/>
    <mergeCell ref="AE23:AE27"/>
    <mergeCell ref="AG23:AG27"/>
    <mergeCell ref="AS18:AS22"/>
    <mergeCell ref="AS23:AS27"/>
    <mergeCell ref="AW18:AW22"/>
    <mergeCell ref="AW23:AW27"/>
    <mergeCell ref="AM18:AM22"/>
    <mergeCell ref="AQ18:AQ22"/>
    <mergeCell ref="AU18:AU22"/>
    <mergeCell ref="AY18:AY22"/>
    <mergeCell ref="AM23:AM27"/>
    <mergeCell ref="AQ23:AQ27"/>
    <mergeCell ref="AU23:AU27"/>
    <mergeCell ref="AY23:AY27"/>
    <mergeCell ref="AG28:AG33"/>
    <mergeCell ref="AI28:AI33"/>
    <mergeCell ref="S28:S33"/>
    <mergeCell ref="U28:U33"/>
    <mergeCell ref="W28:W33"/>
    <mergeCell ref="Y28:Y33"/>
    <mergeCell ref="AA28:AA33"/>
    <mergeCell ref="AC28:AC33"/>
    <mergeCell ref="AE28:AE33"/>
    <mergeCell ref="AE43:AF43"/>
    <mergeCell ref="AG43:AH43"/>
    <mergeCell ref="Q43:R43"/>
    <mergeCell ref="S43:T43"/>
    <mergeCell ref="U43:V43"/>
    <mergeCell ref="W43:X43"/>
    <mergeCell ref="Y43:Z43"/>
    <mergeCell ref="AA43:AB43"/>
    <mergeCell ref="AC43:AD43"/>
  </mergeCells>
  <conditionalFormatting sqref="C3:C30 D3:D38 E3:E30 F3:F38 G3:G30 H3:H38 I3:I30 J3:J38 K3:K30 L3:L38 M3:M30 N3:N38 O3:O30 P3:P38 Q3:Q30 R3:R38 S3:S30 T3:T38 U3:U30 V3:V38 W3:W30 X3:X38 Y3:Y30 Z3:Z40 AA3:AA30 AB3:AB40 AC3:AC30 AD3:AD40 AE3:AE30 AF3:AF40 AG3:AG30 AH3:AH38 AI3:AI30 AJ3:AJ38 AK3:AK30 AL3:AL38 AM3:AM30 AN3:AN38 AO3:AO30 AP3:AP38 AQ3:AQ30 AR3:AR40 AS3:AS30 AT3:AT40 AU3:AU30 AV3:AV40 AW3:AW30 AX3:AX38 AY3:AY30 AZ3:AZ38">
    <cfRule type="cellIs" dxfId="5" priority="1" operator="between">
      <formula>7.10001</formula>
      <formula>7.5</formula>
    </cfRule>
  </conditionalFormatting>
  <conditionalFormatting sqref="C3:C35 D3:D40 E3:E35 F3:F40 G3:G36 H3:H40 I3:I36 J3:J40 K3:K36 L3:L40 M3:M36 N3:N40 O3:O36 P3:P40 Q3:Q36 R3:R40 S3:S36 T3:T40 U3:U36 V3:V40 W3:W36 X3:X40 Y3:Y36 Z3:Z40 AA3:AA36 AB3:AB40 AC3:AC36 AD3:AD40 AE3:AE36 AF3:AF40 AG3:AG36 AH3:AH40 AI3:AI36 AJ3:AJ40 AK3:AK36 AL3:AL40 AM3:AM36 AN3:AN40 AO3:AO36 AP3:AP40 AQ3:AQ36 AR3:AR40 AS3:AS36 AT3:AT40 AU3:AU36 AV3:AV40 AW3:AW35 AX3:AX40 AY3:AY35 AZ3:AZ40">
    <cfRule type="cellIs" dxfId="1" priority="2" operator="greaterThan">
      <formula>8.5</formula>
    </cfRule>
  </conditionalFormatting>
  <conditionalFormatting sqref="C3:C35 D3:D40 E3:E35 F3:F40 G3:G36 H3:H40 I3:I36 J3:J40 K3:K36 L3:L40 M3:M36 N3:N40 O3:O36 P3:P40 Q3:Q36 R3:R40 S3:S36 T3:T40 U3:U36 V3:V40 W3:W36 X3:X40 Y3:Y36 Z3:Z40 AA3:AA36 AB3:AB40 AC3:AC36 AD3:AD40 AE3:AE36 AF3:AF40 AG3:AG36 AH3:AH40 AI3:AI36 AJ3:AJ40 AK3:AK36 AL3:AL40 AM3:AM36 AN3:AN40 AO3:AO36 AP3:AP40 AQ3:AQ36 AR3:AR40 AS3:AS36 AT3:AT40 AU3:AU36 AV3:AV40 AW3:AW35 AX3:AX40 AY3:AY35 AZ3:AZ40">
    <cfRule type="cellIs" dxfId="12" priority="3" operator="between">
      <formula>8.000001</formula>
      <formula>8.5</formula>
    </cfRule>
  </conditionalFormatting>
  <conditionalFormatting sqref="C3:C35 D3:D40 E3:E35 F3:F40 G3:G36 H3:H40 I3:I36 J3:J40 K3:K36 L3:L40 M3:M36 N3:N40 O3:O36 P3:P40 Q3:Q36 R3:R40 S3:S36 T3:T40 U3:U36 V3:V40 W3:W36 X3:X40 Y3:Y36 Z3:Z40 AA3:AA36 AB3:AB40 AC3:AC36 AD3:AD40 AE3:AE36 AF3:AF40 AG3:AG36 AH3:AH40 AI3:AI36 AJ3:AJ40 AK3:AK36 AL3:AL40 AM3:AM36 AN3:AN40 AO3:AO36 AP3:AP40 AQ3:AQ36 AR3:AR40 AS3:AS36 AT3:AT40 AU3:AU36 AV3:AV40 AW3:AW35 AX3:AX40 AY3:AY35 AZ3:AZ40">
    <cfRule type="cellIs" dxfId="3" priority="4" operator="between">
      <formula>7.500001</formula>
      <formula>8</formula>
    </cfRule>
  </conditionalFormatting>
  <conditionalFormatting sqref="C3:C30 D3:D36 E3:E30 F3:F40 G3:G30 H3:H40 I3:I30 J3:J40 K3:K30 L3:L40 M3:M30 N3:N40 O3:O30 P3:P40 Q3:Q30 R3:R40 S3:S30 T3:T40 U3:U30 V3:V37 W3:W30 X3:X37 Y3:Y30 Z3:Z37 AA3:AA30 AB3:AB37 AC3:AC35 AD3:AD37 AE3:AE30 AF3:AF37 AG3:AG30 AH3:AH37 AI3:AI30 AJ3:AJ37 AK3:AK30 AL3:AL37 AM3:AM30 AN3:AN37 AO3:AO30 AP3:AP37 AQ3:AQ30 AR3:AR40 AS3:AS30 AT3:AT37 AU3:AU30 AV3:AV37 AW3:AW30 AX3:AX37 AY3:AY30 AZ3:AZ37 C34 E34 D38:D40 V39:V40 X39:X40 Z39:Z40 AB39:AB40 AD39:AD40 AF39:AF40 AH39:AH40 AJ39:AJ40 AL39:AL40 AN39:AN40 AP39:AP40 AT39:AT40 AV39:AV40 AX39:AX40 AZ39:AZ40">
    <cfRule type="cellIs" dxfId="4" priority="5" operator="between">
      <formula>6.50001</formula>
      <formula>7</formula>
    </cfRule>
  </conditionalFormatting>
  <conditionalFormatting sqref="C3:C35 D3:D40 E3:E35 F3:F40 G3:G36 H3:H40 I3:I36 J3:J40 K3:K36 L3:L40 M3:M36 N3:N40 O3:O36 P3:P40 Q3:Q36 R3:R40 S3:S36 T3:T40 U3:U36 V3:V40 W3:W36 X3:X40 Y3:Y36 Z3:Z40 AA3:AA36 AB3:AB40 AC3:AC36 AD3:AD40 AE3:AE36 AF3:AF40 AG3:AG36 AH3:AH40 AI3:AI36 AJ3:AJ40 AK3:AK36 AL3:AL40 AM3:AM36 AN3:AN40 AO3:AO36 AP3:AP40 AQ3:AQ36 AR3:AR40 AS3:AS36 AT3:AT40 AU3:AU36 AV3:AV40 AW3:AW35 AX3:AX40 AY3:AY35 AZ3:AZ40">
    <cfRule type="cellIs" dxfId="5" priority="6" operator="between">
      <formula>7.00001</formula>
      <formula>7.5</formula>
    </cfRule>
  </conditionalFormatting>
  <conditionalFormatting sqref="C3:C33 D3:D35 E3:E33 F3:F35 G3:G33 H3:H35 I3:I33 J3:J35 K3:K33 L3:L35 M3:M33 N3:N35 O3:O33 P3:P35 Q3:Q33 R3:R35 S3:S33 T3:T35 U3:U33 V3:V35 W3:W33 X3:X35 Y3:Y33 Z3:Z35 AA3:AA33 AB3:AF37 AG3:AG33 AH3:AH37 AI3:AI33 AJ3:AJ37 AK3:AK33 AL3:AL37 AM3:AM33 AN3:AN37 AO3:AO33 AP3:AP37 AQ3:AQ33 AR3:AR37 AS3:AS33 AT3:AT37 AU3:AU33 AV3:AV37 AW3:AW33 AX3:AZ37">
    <cfRule type="cellIs" dxfId="1" priority="7" operator="greaterThan">
      <formula>8.8</formula>
    </cfRule>
  </conditionalFormatting>
  <conditionalFormatting sqref="C3:C33 D3:D35 E3:E33 F3:F35 G3:G33 H3:H35 I3:I33 J3:J35 K3:K33 L3:L35 M3:M33 N3:N35 O3:O33 P3:P35 Q3:Q33 R3:R35 S3:S33 T3:T35 U3:U33 V3:V35 W3:W33 X3:X35 Y3:Y33 Z3:Z35 AA3:AA33 AB3:AF37 AG3:AG33 AH3:AH37 AI3:AI33 AJ3:AJ37 AK3:AK33 AL3:AL37 AM3:AM33 AN3:AN37 AO3:AO33 AP3:AP37 AQ3:AQ33 AR3:AR37 AS3:AS33 AT3:AT37 AU3:AU33 AV3:AV37 AW3:AW33 AX3:AZ37">
    <cfRule type="cellIs" dxfId="12" priority="8" operator="between">
      <formula>8.300001</formula>
      <formula>8.8</formula>
    </cfRule>
  </conditionalFormatting>
  <conditionalFormatting sqref="C3:C33 D3:D35 E3:E33 F3:F35 G3:G33 H3:H35 I3:I33 J3:J35 K3:K33 L3:L35 M3:M33 N3:N35 O3:O33 P3:P35 Q3:Q33 R3:R35 S3:S33 T3:T35 U3:U33 V3:V35 W3:W33 X3:X35 Y3:Y33 Z3:Z35 AA3:AA33 AB3:AF37 AG3:AG33 AH3:AH37 AI3:AI33 AJ3:AJ37 AK3:AK33 AL3:AL37 AM3:AM33 AN3:AN37 AO3:AO33 AP3:AP37 AQ3:AQ33 AR3:AR37 AS3:AS33 AT3:AT37 AU3:AU33 AV3:AV37 AW3:AW33 AX3:AZ37">
    <cfRule type="cellIs" dxfId="3" priority="9" operator="between">
      <formula>7.800001</formula>
      <formula>8.3</formula>
    </cfRule>
  </conditionalFormatting>
  <conditionalFormatting sqref="C3:C35 D3:D40 E3:E35 F3:F40 G3:G36 H3:H40 I3:I36 J3:J40 K3:K36 L3:L40 M3:M36 N3:N40 O3:O36 P3:P40 Q3:Q36 R3:R40 S3:S36 T3:T40 U3:U36 V3:V40 W3:W36 X3:X40 Y3:Y36 Z3:Z40 AA3:AA36 AB3:AB40 AC3:AC37 AD3:AD40 AE3:AE37 AF3:AF40 AG3:AG37 AH3:AH40 AI3:AI37 AJ3:AJ40 AK3:AK37 AL3:AL40 AM3:AM37 AN3:AN40 AO3:AO37 AP3:AP40 AQ3:AQ37 AR3:AR40 AS3:AS37 AT3:AT40 AU3:AU37 AV3:AV40 AW3:AW37 AX3:AX40 AY3:AY37 AZ3:AZ40">
    <cfRule type="cellIs" dxfId="4" priority="10" operator="between">
      <formula>6.50001</formula>
      <formula>7.1</formula>
    </cfRule>
  </conditionalFormatting>
  <conditionalFormatting sqref="C3:C33 D3:D35 E3:E33 F3:F35 G3:G33 H3:H35 I3:I33 J3:J35 K3:K33 L3:L35 M3:M33 N3:N35 O3:O33 P3:P35 Q3:Q33 R3:R35 S3:S33 T3:T35 U3:U33 V3:V35 W3:W33 X3:X35 Y3:Y33 Z3:Z35 AA3:AA33 AB3:AF37 AG3:AG33 AH3:AH37 AI3:AI33 AJ3:AJ37 AK3:AK33 AL3:AL37 AM3:AM33 AN3:AN37 AO3:AO33 AP3:AP37 AQ3:AQ33 AR3:AR37 AS3:AS33 AT3:AT37 AU3:AU33 AV3:AV37 AW3:AW33 AX3:AZ37">
    <cfRule type="cellIs" dxfId="5" priority="11" operator="between">
      <formula>7.10001</formula>
      <formula>7.8</formula>
    </cfRule>
  </conditionalFormatting>
  <conditionalFormatting sqref="C3:C35 D3:D40 E3:E36 F3:F40 G3:G36 H3:H40 I3:I36 J3:J40 K3:K36 L3:L40 M3:M36 N3:N40 O3:O36 P3:P40 Q3:Q36 R3:R40 S3:S36 T3:T40 U3:U36 V3:V40 W3:W36 X3:X40 Y3:Y36 Z3:Z40 AA3:AA36 AB3:AB40 AC3:AC37 AD3:AD40 AE3:AE37 AF3:AF40 AG3:AG37 AH3:AH40 AI3:AI37 AJ3:AJ40 AK3:AK37 AL3:AL40 AM3:AM37 AN3:AN40 AO3:AO37 AP3:AP40 AQ3:AQ37 AR3:AR40 AS3:AS37 AT3:AT40 AU3:AU37 AV3:AV40 AW3:AW37 AX3:AX40 AY3:AY37 AZ3:AZ40">
    <cfRule type="cellIs" dxfId="6" priority="12" operator="between">
      <formula>0</formula>
      <formula>6.5</formula>
    </cfRule>
  </conditionalFormatting>
  <conditionalFormatting sqref="C3:C33 D3:D36 E3:E33 F3:F37 G3:G33 H3:H37 I3:I33 J3:J37 K3:K33 L3:L37 M3:M33 N3:N37 O3:O33 P3:P37 Q3:Q33 R3:R37 S3:S33 T3:T37 U3:U33 V3:V37 W3:W33 X3:X37 Y3:Y33 Z3:Z37 AA3:AA33 AB3:AB37 AC3:AC33 AD3:AD37 AE3:AE36 AF3:AF37 AG3:AG33 AH3:AH37 AI3:AI33 AJ3:AJ37 AK3:AK33 AL3:AL37 AM3:AM33 AN3:AN37 AO3:AO33 AP3:AP37 AQ3:AQ33 AR3:AR37 AS3:AS33 AT3:AT37 AU3:AU33 AV3:AV37 AW3:AW33 AX3:AX37 AY3:AY36 AZ3:AZ37">
    <cfRule type="cellIs" dxfId="4" priority="13" operator="between">
      <formula>6.50001</formula>
      <formula>7.2</formula>
    </cfRule>
  </conditionalFormatting>
  <conditionalFormatting sqref="C3:C33 D3:D36 E3:E33 F3:F37 G3:G33 H3:H37 I3:I33 J3:J37 K3:K33 L3:L37 M3:M33 N3:N37 O3:O33 P3:P37 Q3:Q33 R3:R37 S3:S33 T3:T37 U3:U33 V3:V37 W3:W33 X3:X37 Y3:Y33 Z3:Z37 AA3:AA33 AB3:AB37 AC3:AC33 AD3:AD37 AE3:AE36 AF3:AF37 AG3:AG33 AH3:AH37 AI3:AI33 AJ3:AJ37 AK3:AK33 AL3:AL37 AM3:AM33 AN3:AN37 AO3:AO33 AP3:AP37 AQ3:AQ33 AR3:AR37 AS3:AS33 AT3:AT37 AU3:AU33 AV3:AV37 AW3:AW33 AX3:AX37 AY3:AY36 AZ3:AZ37">
    <cfRule type="cellIs" dxfId="5" priority="14" operator="between">
      <formula>7.20001</formula>
      <formula>8</formula>
    </cfRule>
  </conditionalFormatting>
  <conditionalFormatting sqref="C3:C33 D3:D36 E3:E33 F3:F37 G3:G33 H3:H37 I3:I33 J3:J37 K3:K33 L3:L37 M3:M33 N3:N37 O3:O33 P3:P37 Q3:Q33 R3:R37 S3:S33 T3:T37 U3:U33 V3:V37 W3:W33 X3:X37 Y3:Y33 Z3:Z37 AA3:AA33 AB3:AB37 AC3:AC33 AD3:AD37 AE3:AE36 AF3:AF37 AG3:AG33 AH3:AH37 AI3:AI33 AJ3:AJ37 AK3:AK33 AL3:AL37 AM3:AM33 AN3:AN37 AO3:AO33 AP3:AP37 AQ3:AQ33 AR3:AR37 AS3:AS33 AT3:AT37 AU3:AU33 AV3:AV37 AW3:AW33 AX3:AX37 AY3:AY36 AZ3:AZ37">
    <cfRule type="cellIs" dxfId="3" priority="15" operator="between">
      <formula>8.0001</formula>
      <formula>8.5</formula>
    </cfRule>
  </conditionalFormatting>
  <conditionalFormatting sqref="C3:C33 D3:D36 E3:E33 F3:F37 G3:G33 H3:H37 I3:I33 J3:J37 K3:K33 L3:L37 M3:M33 N3:N37 O3:O33 P3:P37 Q3:Q33 R3:R37 S3:S33 T3:T37 U3:U33 V3:V37 W3:W33 X3:X37 Y3:Y33 Z3:Z37 AA3:AA33 AB3:AB37 AC3:AC33 AD3:AD37 AE3:AE36 AF3:AF37 AG3:AG33 AH3:AH37 AI3:AI33 AJ3:AJ37 AK3:AK33 AL3:AL37 AM3:AM33 AN3:AN37 AO3:AO33 AP3:AP37 AQ3:AQ33 AR3:AR37 AS3:AS33 AT3:AT37 AU3:AU33 AV3:AV37 AW3:AW33 AX3:AX37 AY3:AY36 AZ3:AZ37">
    <cfRule type="cellIs" dxfId="12" priority="16" operator="between">
      <formula>8.50001</formula>
      <formula>9</formula>
    </cfRule>
  </conditionalFormatting>
  <conditionalFormatting sqref="C3:C33 D3:D36 E3:E33 F3:F37 G3:G33 H3:H37 I3:I33 J3:J37 K3:K33 L3:L37 M3:M33 N3:N37 O3:O33 P3:P37 Q3:Q33 R3:R37 S3:S33 T3:T37 U3:U33 V3:V37 W3:W33 X3:X37 Y3:Y33 Z3:Z37 AA3:AA33 AB3:AB37 AC3:AC33 AD3:AD37 AE3:AE36 AF3:AF37 AG3:AG33 AH3:AH37 AI3:AI33 AJ3:AJ37 AK3:AK33 AL3:AL37 AM3:AM33 AN3:AN37 AO3:AO33 AP3:AP37 AQ3:AQ33 AR3:AR37 AS3:AS33 AT3:AT37 AU3:AU33 AV3:AV37 AW3:AW33 AX3:AX37 AY3:AY36 AZ3:AZ37">
    <cfRule type="cellIs" dxfId="1" priority="17" operator="greaterThan">
      <formula>9</formula>
    </cfRule>
  </conditionalFormatting>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11.57"/>
    <col customWidth="1" min="2" max="2" width="58.71"/>
    <col customWidth="1" min="3" max="3" width="16.43"/>
    <col customWidth="1" min="4" max="4" width="16.29"/>
    <col hidden="1" min="51" max="52" width="14.43"/>
  </cols>
  <sheetData>
    <row r="1" ht="45.0" customHeight="1">
      <c r="A1" s="1047"/>
      <c r="B1" s="1048"/>
      <c r="C1" s="1049" t="s">
        <v>452</v>
      </c>
      <c r="D1" s="311"/>
      <c r="E1" s="309" t="s">
        <v>517</v>
      </c>
      <c r="F1" s="311"/>
      <c r="G1" s="309" t="s">
        <v>513</v>
      </c>
      <c r="H1" s="311"/>
      <c r="I1" s="309" t="s">
        <v>510</v>
      </c>
      <c r="J1" s="311"/>
      <c r="K1" s="309" t="s">
        <v>580</v>
      </c>
      <c r="L1" s="311"/>
      <c r="M1" s="309" t="s">
        <v>581</v>
      </c>
      <c r="N1" s="311"/>
      <c r="O1" s="309" t="s">
        <v>515</v>
      </c>
      <c r="P1" s="311"/>
      <c r="Q1" s="309" t="s">
        <v>582</v>
      </c>
      <c r="R1" s="311"/>
      <c r="S1" s="309" t="s">
        <v>583</v>
      </c>
      <c r="T1" s="311"/>
      <c r="U1" s="309" t="s">
        <v>584</v>
      </c>
      <c r="V1" s="311"/>
      <c r="W1" s="309" t="s">
        <v>518</v>
      </c>
      <c r="X1" s="311"/>
      <c r="Y1" s="309" t="s">
        <v>585</v>
      </c>
      <c r="Z1" s="311"/>
      <c r="AA1" s="309" t="s">
        <v>528</v>
      </c>
      <c r="AB1" s="311"/>
      <c r="AC1" s="309" t="s">
        <v>526</v>
      </c>
      <c r="AD1" s="311"/>
      <c r="AE1" s="309" t="s">
        <v>522</v>
      </c>
      <c r="AF1" s="311"/>
      <c r="AG1" s="309" t="s">
        <v>586</v>
      </c>
      <c r="AH1" s="311"/>
      <c r="AI1" s="309" t="s">
        <v>587</v>
      </c>
      <c r="AJ1" s="311"/>
      <c r="AK1" s="309" t="s">
        <v>588</v>
      </c>
      <c r="AL1" s="311"/>
      <c r="AM1" s="309" t="s">
        <v>589</v>
      </c>
      <c r="AN1" s="311"/>
      <c r="AO1" s="309" t="s">
        <v>590</v>
      </c>
      <c r="AP1" s="311"/>
      <c r="AQ1" s="309" t="s">
        <v>591</v>
      </c>
      <c r="AR1" s="311"/>
      <c r="AS1" s="309" t="s">
        <v>519</v>
      </c>
      <c r="AT1" s="311"/>
      <c r="AU1" s="309" t="s">
        <v>592</v>
      </c>
      <c r="AV1" s="311"/>
      <c r="AW1" s="309" t="s">
        <v>593</v>
      </c>
      <c r="AX1" s="311"/>
      <c r="AY1" s="1050"/>
      <c r="AZ1" s="1050"/>
    </row>
    <row r="2" ht="45.0" customHeight="1">
      <c r="A2" s="1047"/>
      <c r="B2" s="1051" t="s">
        <v>594</v>
      </c>
      <c r="C2" s="1052" t="s">
        <v>27</v>
      </c>
      <c r="D2" s="1052" t="s">
        <v>4</v>
      </c>
      <c r="E2" s="1052" t="s">
        <v>27</v>
      </c>
      <c r="F2" s="1052" t="s">
        <v>4</v>
      </c>
      <c r="G2" s="1053" t="s">
        <v>27</v>
      </c>
      <c r="H2" s="1052" t="s">
        <v>4</v>
      </c>
      <c r="I2" s="1052" t="s">
        <v>27</v>
      </c>
      <c r="J2" s="1052" t="s">
        <v>4</v>
      </c>
      <c r="K2" s="1052" t="s">
        <v>27</v>
      </c>
      <c r="L2" s="1052" t="s">
        <v>4</v>
      </c>
      <c r="M2" s="1052" t="s">
        <v>27</v>
      </c>
      <c r="N2" s="1052" t="s">
        <v>4</v>
      </c>
      <c r="O2" s="1052" t="s">
        <v>27</v>
      </c>
      <c r="P2" s="1052" t="s">
        <v>4</v>
      </c>
      <c r="Q2" s="1052" t="s">
        <v>27</v>
      </c>
      <c r="R2" s="1052" t="s">
        <v>4</v>
      </c>
      <c r="S2" s="1052" t="s">
        <v>27</v>
      </c>
      <c r="T2" s="1052" t="s">
        <v>4</v>
      </c>
      <c r="U2" s="1052" t="s">
        <v>27</v>
      </c>
      <c r="V2" s="1052" t="s">
        <v>4</v>
      </c>
      <c r="W2" s="1052" t="s">
        <v>27</v>
      </c>
      <c r="X2" s="1052" t="s">
        <v>4</v>
      </c>
      <c r="Y2" s="1053" t="s">
        <v>27</v>
      </c>
      <c r="Z2" s="1052" t="s">
        <v>4</v>
      </c>
      <c r="AA2" s="1052" t="s">
        <v>27</v>
      </c>
      <c r="AB2" s="1052" t="s">
        <v>4</v>
      </c>
      <c r="AC2" s="1052" t="s">
        <v>27</v>
      </c>
      <c r="AD2" s="1052" t="s">
        <v>4</v>
      </c>
      <c r="AE2" s="1053" t="s">
        <v>27</v>
      </c>
      <c r="AF2" s="1052" t="s">
        <v>4</v>
      </c>
      <c r="AG2" s="1052" t="s">
        <v>27</v>
      </c>
      <c r="AH2" s="1052" t="s">
        <v>4</v>
      </c>
      <c r="AI2" s="1052" t="s">
        <v>27</v>
      </c>
      <c r="AJ2" s="1052" t="s">
        <v>4</v>
      </c>
      <c r="AK2" s="1052" t="s">
        <v>27</v>
      </c>
      <c r="AL2" s="1052" t="s">
        <v>4</v>
      </c>
      <c r="AM2" s="1052" t="s">
        <v>27</v>
      </c>
      <c r="AN2" s="1052" t="s">
        <v>4</v>
      </c>
      <c r="AO2" s="1052" t="s">
        <v>27</v>
      </c>
      <c r="AP2" s="1052" t="s">
        <v>4</v>
      </c>
      <c r="AQ2" s="1052" t="s">
        <v>27</v>
      </c>
      <c r="AR2" s="1052" t="s">
        <v>4</v>
      </c>
      <c r="AS2" s="1052" t="s">
        <v>27</v>
      </c>
      <c r="AT2" s="1052" t="s">
        <v>4</v>
      </c>
      <c r="AU2" s="1052" t="s">
        <v>27</v>
      </c>
      <c r="AV2" s="1052" t="s">
        <v>4</v>
      </c>
      <c r="AW2" s="1052" t="s">
        <v>27</v>
      </c>
      <c r="AX2" s="1052" t="s">
        <v>4</v>
      </c>
      <c r="AY2" s="1054"/>
      <c r="AZ2" s="1054"/>
    </row>
    <row r="3" ht="52.5" customHeight="1">
      <c r="A3" s="1055" t="s">
        <v>29</v>
      </c>
      <c r="B3" s="713" t="s">
        <v>162</v>
      </c>
      <c r="C3" s="1056">
        <f>AVERAGE(D3:D6)</f>
        <v>7.609681373</v>
      </c>
      <c r="D3" s="330">
        <v>7.75</v>
      </c>
      <c r="E3" s="1056">
        <f>AVERAGE(F3:F6)</f>
        <v>8.090686275</v>
      </c>
      <c r="F3" s="330">
        <v>8.458333333333334</v>
      </c>
      <c r="G3" s="1057">
        <f>AVERAGE(H3:H6)</f>
        <v>7.85</v>
      </c>
      <c r="H3" s="1058">
        <v>8.12</v>
      </c>
      <c r="I3" s="1056">
        <f>AVERAGE(J3:J6)</f>
        <v>7.755</v>
      </c>
      <c r="J3" s="330">
        <v>7.33</v>
      </c>
      <c r="K3" s="1056">
        <f>AVERAGE(L3:L6)</f>
        <v>7.1725</v>
      </c>
      <c r="L3" s="330">
        <v>7.46</v>
      </c>
      <c r="M3" s="1056">
        <f>AVERAGE(N3:N6)</f>
        <v>7.4125</v>
      </c>
      <c r="N3" s="330">
        <v>7.29</v>
      </c>
      <c r="O3" s="1056">
        <f>AVERAGE(P3:P6)</f>
        <v>8.3375</v>
      </c>
      <c r="P3" s="330">
        <v>8.45</v>
      </c>
      <c r="Q3" s="1056">
        <f>AVERAGE(R3:R6)</f>
        <v>6.7775</v>
      </c>
      <c r="R3" s="330">
        <v>6.67</v>
      </c>
      <c r="S3" s="1056">
        <f>AVERAGE(T3:T6)</f>
        <v>6.525</v>
      </c>
      <c r="T3" s="330">
        <v>6.4</v>
      </c>
      <c r="U3" s="1056">
        <f>AVERAGE(V3:V6)</f>
        <v>6.875</v>
      </c>
      <c r="V3" s="330">
        <v>6.92</v>
      </c>
      <c r="W3" s="1056">
        <f>AVERAGE(X3:X6)</f>
        <v>6.6625</v>
      </c>
      <c r="X3" s="330">
        <v>6.67</v>
      </c>
      <c r="Y3" s="1056">
        <f>AVERAGE(Z3:Z6)</f>
        <v>7.6725</v>
      </c>
      <c r="Z3" s="330">
        <v>7.75</v>
      </c>
      <c r="AA3" s="1056">
        <f>AVERAGE(AB3:AB6)</f>
        <v>7.523351648</v>
      </c>
      <c r="AB3" s="1059">
        <v>7.071428571428571</v>
      </c>
      <c r="AC3" s="1056">
        <f>AVERAGE(AD3:AD6)</f>
        <v>6.975961538</v>
      </c>
      <c r="AD3" s="1059">
        <v>6.6923076923076925</v>
      </c>
      <c r="AE3" s="1056">
        <f>AVERAGE(AF3:AF6)</f>
        <v>6.677197802</v>
      </c>
      <c r="AF3" s="1059">
        <v>6.428571428571429</v>
      </c>
      <c r="AG3" s="1056">
        <f>AVERAGE(AH3:AH6)</f>
        <v>7.638541667</v>
      </c>
      <c r="AH3" s="1059">
        <v>7.3125</v>
      </c>
      <c r="AI3" s="1057">
        <f>AVERAGE(AJ3:AJ6)</f>
        <v>9.025</v>
      </c>
      <c r="AJ3" s="1060">
        <v>8.545454545454545</v>
      </c>
      <c r="AK3" s="1056">
        <f>AVERAGE(AL3:AL6)</f>
        <v>7.125</v>
      </c>
      <c r="AL3" s="1059">
        <v>7.4</v>
      </c>
      <c r="AM3" s="1056">
        <f>AVERAGE(AN3:AN6)</f>
        <v>7.490384615</v>
      </c>
      <c r="AN3" s="1059">
        <v>7.076923076923077</v>
      </c>
      <c r="AO3" s="1056">
        <f>AVERAGE(AP3:AP6)</f>
        <v>7.736928105</v>
      </c>
      <c r="AP3" s="1059">
        <v>7.833333333333333</v>
      </c>
      <c r="AQ3" s="1056">
        <f>AVERAGE(AR3:AR6)</f>
        <v>7</v>
      </c>
      <c r="AR3" s="1059">
        <v>6.833333333333333</v>
      </c>
      <c r="AS3" s="1056">
        <f>AVERAGE(AT3:AT6)</f>
        <v>8.1175</v>
      </c>
      <c r="AT3" s="330">
        <v>8.27</v>
      </c>
      <c r="AU3" s="1056">
        <f>AVERAGE(AV3:AV6)</f>
        <v>7.16</v>
      </c>
      <c r="AV3" s="330">
        <v>7.18</v>
      </c>
      <c r="AW3" s="1056">
        <f>AVERAGE(AX3:AX6)</f>
        <v>7.1375</v>
      </c>
      <c r="AX3" s="326">
        <v>7.27</v>
      </c>
      <c r="AY3" s="328"/>
      <c r="AZ3" s="328"/>
    </row>
    <row r="4" ht="52.5" customHeight="1">
      <c r="A4" s="61"/>
      <c r="B4" s="713" t="s">
        <v>32</v>
      </c>
      <c r="C4" s="61"/>
      <c r="D4" s="330">
        <v>7.25</v>
      </c>
      <c r="E4" s="61"/>
      <c r="F4" s="330">
        <v>8.0</v>
      </c>
      <c r="G4" s="61"/>
      <c r="H4" s="1058">
        <v>6.88</v>
      </c>
      <c r="I4" s="61"/>
      <c r="J4" s="330">
        <v>8.56</v>
      </c>
      <c r="K4" s="61"/>
      <c r="L4" s="330">
        <v>6.92</v>
      </c>
      <c r="M4" s="61"/>
      <c r="N4" s="330">
        <v>7.07</v>
      </c>
      <c r="O4" s="61"/>
      <c r="P4" s="330">
        <v>8.45</v>
      </c>
      <c r="Q4" s="61"/>
      <c r="R4" s="330">
        <v>6.44</v>
      </c>
      <c r="S4" s="61"/>
      <c r="T4" s="330">
        <v>6.1</v>
      </c>
      <c r="U4" s="61"/>
      <c r="V4" s="330">
        <v>6.58</v>
      </c>
      <c r="W4" s="61"/>
      <c r="X4" s="330">
        <v>6.4</v>
      </c>
      <c r="Y4" s="61"/>
      <c r="Z4" s="330">
        <v>7.56</v>
      </c>
      <c r="AA4" s="61"/>
      <c r="AB4" s="1061">
        <v>7.714285714285714</v>
      </c>
      <c r="AC4" s="61"/>
      <c r="AD4" s="1061">
        <v>6.461538461538462</v>
      </c>
      <c r="AE4" s="61"/>
      <c r="AF4" s="1061">
        <v>6.357142857142857</v>
      </c>
      <c r="AG4" s="61"/>
      <c r="AH4" s="1061">
        <v>8.375</v>
      </c>
      <c r="AI4" s="61"/>
      <c r="AJ4" s="1062">
        <v>9.545454545454545</v>
      </c>
      <c r="AK4" s="61"/>
      <c r="AL4" s="1061">
        <v>6.6</v>
      </c>
      <c r="AM4" s="61"/>
      <c r="AN4" s="1061">
        <v>8.384615384615385</v>
      </c>
      <c r="AO4" s="61"/>
      <c r="AP4" s="1061">
        <v>7.055555555555555</v>
      </c>
      <c r="AQ4" s="61"/>
      <c r="AR4" s="1061">
        <v>6.666666666666667</v>
      </c>
      <c r="AS4" s="61"/>
      <c r="AT4" s="330">
        <v>8.73</v>
      </c>
      <c r="AU4" s="61"/>
      <c r="AV4" s="330">
        <v>6.73</v>
      </c>
      <c r="AW4" s="61"/>
      <c r="AX4" s="326">
        <v>6.73</v>
      </c>
      <c r="AY4" s="328"/>
      <c r="AZ4" s="328"/>
    </row>
    <row r="5" ht="52.5" customHeight="1">
      <c r="A5" s="61"/>
      <c r="B5" s="713" t="s">
        <v>164</v>
      </c>
      <c r="C5" s="61"/>
      <c r="D5" s="330">
        <v>7.791666666666667</v>
      </c>
      <c r="E5" s="61"/>
      <c r="F5" s="330">
        <v>8.375</v>
      </c>
      <c r="G5" s="61"/>
      <c r="H5" s="1058">
        <v>8.94</v>
      </c>
      <c r="I5" s="61"/>
      <c r="J5" s="330">
        <v>8.0</v>
      </c>
      <c r="K5" s="61"/>
      <c r="L5" s="330">
        <v>6.62</v>
      </c>
      <c r="M5" s="61"/>
      <c r="N5" s="330">
        <v>7.5</v>
      </c>
      <c r="O5" s="61"/>
      <c r="P5" s="330">
        <v>8.18</v>
      </c>
      <c r="Q5" s="61"/>
      <c r="R5" s="330">
        <v>6.11</v>
      </c>
      <c r="S5" s="61"/>
      <c r="T5" s="330">
        <v>6.0</v>
      </c>
      <c r="U5" s="61"/>
      <c r="V5" s="330">
        <v>6.25</v>
      </c>
      <c r="W5" s="61"/>
      <c r="X5" s="330">
        <v>6.33</v>
      </c>
      <c r="Y5" s="61"/>
      <c r="Z5" s="330">
        <v>7.0</v>
      </c>
      <c r="AA5" s="61"/>
      <c r="AB5" s="1061">
        <v>7.076923076923077</v>
      </c>
      <c r="AC5" s="61"/>
      <c r="AD5" s="1061">
        <v>6.916666666666667</v>
      </c>
      <c r="AE5" s="61"/>
      <c r="AF5" s="1061">
        <v>6.538461538461538</v>
      </c>
      <c r="AG5" s="61"/>
      <c r="AH5" s="1061">
        <v>6.666666666666667</v>
      </c>
      <c r="AI5" s="61"/>
      <c r="AJ5" s="1062">
        <v>8.909090909090908</v>
      </c>
      <c r="AK5" s="61"/>
      <c r="AL5" s="1061">
        <v>6.857142857142857</v>
      </c>
      <c r="AM5" s="61"/>
      <c r="AN5" s="1061">
        <v>6.5</v>
      </c>
      <c r="AO5" s="61"/>
      <c r="AP5" s="1061">
        <v>7.529411764705882</v>
      </c>
      <c r="AQ5" s="61"/>
      <c r="AR5" s="1061">
        <v>6.833333333333333</v>
      </c>
      <c r="AS5" s="61"/>
      <c r="AT5" s="330">
        <v>7.36</v>
      </c>
      <c r="AU5" s="61"/>
      <c r="AV5" s="330">
        <v>6.64</v>
      </c>
      <c r="AW5" s="61"/>
      <c r="AX5" s="326">
        <v>6.82</v>
      </c>
      <c r="AY5" s="328"/>
      <c r="AZ5" s="328"/>
    </row>
    <row r="6" ht="52.5" customHeight="1">
      <c r="A6" s="69"/>
      <c r="B6" s="713" t="s">
        <v>166</v>
      </c>
      <c r="C6" s="69"/>
      <c r="D6" s="330">
        <v>7.647058823529412</v>
      </c>
      <c r="E6" s="69"/>
      <c r="F6" s="330">
        <v>7.529411764705882</v>
      </c>
      <c r="G6" s="69"/>
      <c r="H6" s="1058">
        <v>7.46</v>
      </c>
      <c r="I6" s="69"/>
      <c r="J6" s="330">
        <v>7.13</v>
      </c>
      <c r="K6" s="69"/>
      <c r="L6" s="330">
        <v>7.69</v>
      </c>
      <c r="M6" s="69"/>
      <c r="N6" s="330">
        <v>7.79</v>
      </c>
      <c r="O6" s="69"/>
      <c r="P6" s="330">
        <v>8.27</v>
      </c>
      <c r="Q6" s="69"/>
      <c r="R6" s="330">
        <v>7.89</v>
      </c>
      <c r="S6" s="69"/>
      <c r="T6" s="330">
        <v>7.6</v>
      </c>
      <c r="U6" s="69"/>
      <c r="V6" s="330">
        <v>7.75</v>
      </c>
      <c r="W6" s="69"/>
      <c r="X6" s="330">
        <v>7.25</v>
      </c>
      <c r="Y6" s="69"/>
      <c r="Z6" s="330">
        <v>8.38</v>
      </c>
      <c r="AA6" s="69"/>
      <c r="AB6" s="1061">
        <v>8.23076923076923</v>
      </c>
      <c r="AC6" s="69"/>
      <c r="AD6" s="1061">
        <v>7.833333333333333</v>
      </c>
      <c r="AE6" s="69"/>
      <c r="AF6" s="1061">
        <v>7.384615384615385</v>
      </c>
      <c r="AG6" s="69"/>
      <c r="AH6" s="1061">
        <v>8.2</v>
      </c>
      <c r="AI6" s="69"/>
      <c r="AJ6" s="1062">
        <v>9.1</v>
      </c>
      <c r="AK6" s="69"/>
      <c r="AL6" s="1061">
        <v>7.642857142857143</v>
      </c>
      <c r="AM6" s="69"/>
      <c r="AN6" s="1061">
        <v>8.0</v>
      </c>
      <c r="AO6" s="69"/>
      <c r="AP6" s="1061">
        <v>8.529411764705882</v>
      </c>
      <c r="AQ6" s="69"/>
      <c r="AR6" s="1061">
        <v>7.666666666666667</v>
      </c>
      <c r="AS6" s="69"/>
      <c r="AT6" s="330">
        <v>8.11</v>
      </c>
      <c r="AU6" s="69"/>
      <c r="AV6" s="330">
        <v>8.09</v>
      </c>
      <c r="AW6" s="69"/>
      <c r="AX6" s="326">
        <v>7.73</v>
      </c>
      <c r="AY6" s="328"/>
      <c r="AZ6" s="328"/>
    </row>
    <row r="7" ht="52.5" customHeight="1">
      <c r="A7" s="714" t="s">
        <v>35</v>
      </c>
      <c r="B7" s="715" t="s">
        <v>167</v>
      </c>
      <c r="C7" s="1056">
        <f>AVERAGE(D7:D15)</f>
        <v>7.780394525</v>
      </c>
      <c r="D7" s="330">
        <v>8.304347826086957</v>
      </c>
      <c r="E7" s="1056">
        <f>AVERAGE(F7:F15)</f>
        <v>7.974472991</v>
      </c>
      <c r="F7" s="330">
        <v>8.565217391304348</v>
      </c>
      <c r="G7" s="1056">
        <f>AVERAGE(H7:H15)</f>
        <v>7.368888889</v>
      </c>
      <c r="H7" s="1058">
        <v>6.8</v>
      </c>
      <c r="I7" s="1056">
        <f>AVERAGE(J7:J15)</f>
        <v>7.788888889</v>
      </c>
      <c r="J7" s="330">
        <v>7.89</v>
      </c>
      <c r="K7" s="1056">
        <f>AVERAGE(L7:L15)</f>
        <v>7.887777778</v>
      </c>
      <c r="L7" s="330">
        <v>8.62</v>
      </c>
      <c r="M7" s="1056">
        <f>AVERAGE(N7:N15)</f>
        <v>8.005555556</v>
      </c>
      <c r="N7" s="330">
        <v>8.57</v>
      </c>
      <c r="O7" s="1056">
        <f>AVERAGE(P7:P15)</f>
        <v>8.353333333</v>
      </c>
      <c r="P7" s="330">
        <v>8.91</v>
      </c>
      <c r="Q7" s="1056">
        <f>AVERAGE(R7:R15)</f>
        <v>7.585555556</v>
      </c>
      <c r="R7" s="330">
        <v>7.38</v>
      </c>
      <c r="S7" s="1056">
        <f>AVERAGE(T7:T15)</f>
        <v>7.055555556</v>
      </c>
      <c r="T7" s="330">
        <v>6.8</v>
      </c>
      <c r="U7" s="1056">
        <f>AVERAGE(V7:V15)</f>
        <v>7.907777778</v>
      </c>
      <c r="V7" s="330">
        <v>8.08</v>
      </c>
      <c r="W7" s="1056">
        <f>AVERAGE(X7:X15)</f>
        <v>7.837777778</v>
      </c>
      <c r="X7" s="330">
        <v>7.93</v>
      </c>
      <c r="Y7" s="1056">
        <f>AVERAGE(Z7:Z15)</f>
        <v>8.296666667</v>
      </c>
      <c r="Z7" s="330">
        <v>8.88</v>
      </c>
      <c r="AA7" s="1056">
        <f>AVERAGE(AB7:AB15)</f>
        <v>8.303418803</v>
      </c>
      <c r="AB7" s="1061">
        <v>8.923076923076923</v>
      </c>
      <c r="AC7" s="1056">
        <f>AVERAGE(AD7:AD15)</f>
        <v>7.917378917</v>
      </c>
      <c r="AD7" s="1061">
        <v>8.0</v>
      </c>
      <c r="AE7" s="1056">
        <f>AVERAGE(AF7:AF15)</f>
        <v>8.087912088</v>
      </c>
      <c r="AF7" s="1061">
        <v>8.461538461538462</v>
      </c>
      <c r="AG7" s="1056">
        <f>AVERAGE(AH7:AH15)</f>
        <v>7.839550265</v>
      </c>
      <c r="AH7" s="1061">
        <v>8.0</v>
      </c>
      <c r="AI7" s="1057">
        <f>AVERAGE(AJ7:AJ15)</f>
        <v>8.502805836</v>
      </c>
      <c r="AJ7" s="1062">
        <v>9.181818181818182</v>
      </c>
      <c r="AK7" s="1056">
        <f>AVERAGE(AL7:AL15)</f>
        <v>7.507407407</v>
      </c>
      <c r="AL7" s="1061">
        <v>7.333333333333333</v>
      </c>
      <c r="AM7" s="1056">
        <f>AVERAGE(AN7:AN15)</f>
        <v>7.810670811</v>
      </c>
      <c r="AN7" s="1061">
        <v>7.7272727272727275</v>
      </c>
      <c r="AO7" s="1056">
        <f>AVERAGE(AP7:AP15)</f>
        <v>7.755628177</v>
      </c>
      <c r="AP7" s="1061">
        <v>7.9411764705882355</v>
      </c>
      <c r="AQ7" s="1056">
        <f>AVERAGE(AR7:AR15)</f>
        <v>7.623737374</v>
      </c>
      <c r="AR7" s="1061">
        <v>7.454545454545454</v>
      </c>
      <c r="AS7" s="1056">
        <f>AVERAGE(AT7:AT15)</f>
        <v>8.268888889</v>
      </c>
      <c r="AT7" s="330">
        <v>8.5</v>
      </c>
      <c r="AU7" s="1056">
        <f>AVERAGE(AV7:AV15)</f>
        <v>7.898888889</v>
      </c>
      <c r="AV7" s="330">
        <v>8.09</v>
      </c>
      <c r="AW7" s="1056">
        <f>AVERAGE(AX7:AX15)</f>
        <v>7.686666667</v>
      </c>
      <c r="AX7" s="326">
        <v>7.36</v>
      </c>
      <c r="AY7" s="328"/>
      <c r="AZ7" s="328"/>
    </row>
    <row r="8" ht="52.5" customHeight="1">
      <c r="A8" s="61"/>
      <c r="B8" s="715" t="s">
        <v>168</v>
      </c>
      <c r="C8" s="61"/>
      <c r="D8" s="330">
        <v>8.5</v>
      </c>
      <c r="E8" s="61"/>
      <c r="F8" s="330">
        <v>8.590909090909092</v>
      </c>
      <c r="G8" s="61"/>
      <c r="H8" s="1058">
        <v>7.88</v>
      </c>
      <c r="I8" s="61"/>
      <c r="J8" s="330">
        <v>7.56</v>
      </c>
      <c r="K8" s="61"/>
      <c r="L8" s="330">
        <v>8.0</v>
      </c>
      <c r="M8" s="61"/>
      <c r="N8" s="330">
        <v>7.86</v>
      </c>
      <c r="O8" s="61"/>
      <c r="P8" s="330">
        <v>8.27</v>
      </c>
      <c r="Q8" s="61"/>
      <c r="R8" s="330">
        <v>7.44</v>
      </c>
      <c r="S8" s="61"/>
      <c r="T8" s="330">
        <v>6.9</v>
      </c>
      <c r="U8" s="61"/>
      <c r="V8" s="330">
        <v>7.5</v>
      </c>
      <c r="W8" s="61"/>
      <c r="X8" s="330">
        <v>8.67</v>
      </c>
      <c r="Y8" s="61"/>
      <c r="Z8" s="330">
        <v>8.63</v>
      </c>
      <c r="AA8" s="61"/>
      <c r="AB8" s="1061">
        <v>7.785714285714286</v>
      </c>
      <c r="AC8" s="61"/>
      <c r="AD8" s="1061">
        <v>7.333333333333333</v>
      </c>
      <c r="AE8" s="61"/>
      <c r="AF8" s="1061">
        <v>7.846153846153846</v>
      </c>
      <c r="AG8" s="61"/>
      <c r="AH8" s="1061">
        <v>7.642857142857143</v>
      </c>
      <c r="AI8" s="61"/>
      <c r="AJ8" s="1062">
        <v>8.818181818181818</v>
      </c>
      <c r="AK8" s="61"/>
      <c r="AL8" s="1061">
        <v>7.714285714285714</v>
      </c>
      <c r="AM8" s="61"/>
      <c r="AN8" s="1061">
        <v>7.818181818181818</v>
      </c>
      <c r="AO8" s="61"/>
      <c r="AP8" s="1061">
        <v>8.055555555555555</v>
      </c>
      <c r="AQ8" s="61"/>
      <c r="AR8" s="1061">
        <v>7.909090909090909</v>
      </c>
      <c r="AS8" s="61"/>
      <c r="AT8" s="330">
        <v>8.55</v>
      </c>
      <c r="AU8" s="61"/>
      <c r="AV8" s="330">
        <v>7.45</v>
      </c>
      <c r="AW8" s="61"/>
      <c r="AX8" s="326">
        <v>7.45</v>
      </c>
      <c r="AY8" s="328"/>
      <c r="AZ8" s="328"/>
    </row>
    <row r="9" ht="52.5" customHeight="1">
      <c r="A9" s="61"/>
      <c r="B9" s="715" t="s">
        <v>37</v>
      </c>
      <c r="C9" s="61"/>
      <c r="D9" s="330">
        <v>7.826086956521739</v>
      </c>
      <c r="E9" s="61"/>
      <c r="F9" s="330">
        <v>8.130434782608695</v>
      </c>
      <c r="G9" s="61"/>
      <c r="H9" s="1058">
        <v>5.59</v>
      </c>
      <c r="I9" s="61"/>
      <c r="J9" s="330">
        <v>8.25</v>
      </c>
      <c r="K9" s="61"/>
      <c r="L9" s="330">
        <v>7.75</v>
      </c>
      <c r="M9" s="61"/>
      <c r="N9" s="330">
        <v>8.0</v>
      </c>
      <c r="O9" s="61"/>
      <c r="P9" s="330">
        <v>8.45</v>
      </c>
      <c r="Q9" s="61"/>
      <c r="R9" s="330">
        <v>7.0</v>
      </c>
      <c r="S9" s="61"/>
      <c r="T9" s="330">
        <v>5.9</v>
      </c>
      <c r="U9" s="61"/>
      <c r="V9" s="330">
        <v>8.83</v>
      </c>
      <c r="W9" s="61"/>
      <c r="X9" s="330">
        <v>7.87</v>
      </c>
      <c r="Y9" s="61"/>
      <c r="Z9" s="330">
        <v>7.88</v>
      </c>
      <c r="AA9" s="61"/>
      <c r="AB9" s="1061">
        <v>9.0</v>
      </c>
      <c r="AC9" s="61"/>
      <c r="AD9" s="1061">
        <v>8.153846153846153</v>
      </c>
      <c r="AE9" s="61"/>
      <c r="AF9" s="1061">
        <v>8.5</v>
      </c>
      <c r="AG9" s="61"/>
      <c r="AH9" s="1061">
        <v>7.133333333333334</v>
      </c>
      <c r="AI9" s="61"/>
      <c r="AJ9" s="1062">
        <v>8.777777777777779</v>
      </c>
      <c r="AK9" s="61"/>
      <c r="AL9" s="1061">
        <v>6.6</v>
      </c>
      <c r="AM9" s="61"/>
      <c r="AN9" s="1061">
        <v>6.636363636363637</v>
      </c>
      <c r="AO9" s="61"/>
      <c r="AP9" s="1061">
        <v>7.764705882352941</v>
      </c>
      <c r="AQ9" s="61"/>
      <c r="AR9" s="1061">
        <v>6.818181818181818</v>
      </c>
      <c r="AS9" s="61"/>
      <c r="AT9" s="330">
        <v>8.64</v>
      </c>
      <c r="AU9" s="61"/>
      <c r="AV9" s="330">
        <v>8.73</v>
      </c>
      <c r="AW9" s="61"/>
      <c r="AX9" s="326">
        <v>7.27</v>
      </c>
      <c r="AY9" s="328"/>
      <c r="AZ9" s="328"/>
    </row>
    <row r="10" ht="52.5" customHeight="1">
      <c r="A10" s="61"/>
      <c r="B10" s="715" t="s">
        <v>47</v>
      </c>
      <c r="C10" s="61"/>
      <c r="D10" s="330">
        <v>7.708333333333333</v>
      </c>
      <c r="E10" s="61"/>
      <c r="F10" s="330">
        <v>7.958333333333333</v>
      </c>
      <c r="G10" s="61"/>
      <c r="H10" s="1058">
        <v>7.94</v>
      </c>
      <c r="I10" s="61"/>
      <c r="J10" s="330">
        <v>7.78</v>
      </c>
      <c r="K10" s="61"/>
      <c r="L10" s="330">
        <v>8.0</v>
      </c>
      <c r="M10" s="61"/>
      <c r="N10" s="330">
        <v>7.79</v>
      </c>
      <c r="O10" s="61"/>
      <c r="P10" s="330">
        <v>8.27</v>
      </c>
      <c r="Q10" s="61"/>
      <c r="R10" s="330">
        <v>7.78</v>
      </c>
      <c r="S10" s="61"/>
      <c r="T10" s="330">
        <v>7.2</v>
      </c>
      <c r="U10" s="61"/>
      <c r="V10" s="330">
        <v>7.92</v>
      </c>
      <c r="W10" s="61"/>
      <c r="X10" s="330">
        <v>8.4</v>
      </c>
      <c r="Y10" s="61"/>
      <c r="Z10" s="330">
        <v>8.33</v>
      </c>
      <c r="AA10" s="61"/>
      <c r="AB10" s="1061">
        <v>8.142857142857142</v>
      </c>
      <c r="AC10" s="61"/>
      <c r="AD10" s="1061">
        <v>8.0</v>
      </c>
      <c r="AE10" s="61"/>
      <c r="AF10" s="1061">
        <v>8.071428571428571</v>
      </c>
      <c r="AG10" s="61"/>
      <c r="AH10" s="1061">
        <v>7.75</v>
      </c>
      <c r="AI10" s="61"/>
      <c r="AJ10" s="1062">
        <v>8.454545454545455</v>
      </c>
      <c r="AK10" s="61"/>
      <c r="AL10" s="1061">
        <v>7.866666666666666</v>
      </c>
      <c r="AM10" s="61"/>
      <c r="AN10" s="1061">
        <v>7.923076923076923</v>
      </c>
      <c r="AO10" s="61"/>
      <c r="AP10" s="1061">
        <v>8.055555555555555</v>
      </c>
      <c r="AQ10" s="61"/>
      <c r="AR10" s="1061">
        <v>8.25</v>
      </c>
      <c r="AS10" s="61"/>
      <c r="AT10" s="330">
        <v>8.45</v>
      </c>
      <c r="AU10" s="61"/>
      <c r="AV10" s="330">
        <v>7.91</v>
      </c>
      <c r="AW10" s="61"/>
      <c r="AX10" s="326">
        <v>8.18</v>
      </c>
      <c r="AY10" s="328"/>
      <c r="AZ10" s="328"/>
    </row>
    <row r="11" ht="52.5" customHeight="1">
      <c r="A11" s="61"/>
      <c r="B11" s="715" t="s">
        <v>40</v>
      </c>
      <c r="C11" s="61"/>
      <c r="D11" s="330">
        <v>8.458333333333334</v>
      </c>
      <c r="E11" s="61"/>
      <c r="F11" s="330">
        <v>8.333333333333334</v>
      </c>
      <c r="G11" s="61"/>
      <c r="H11" s="1058">
        <v>8.41</v>
      </c>
      <c r="I11" s="61"/>
      <c r="J11" s="330">
        <v>8.56</v>
      </c>
      <c r="K11" s="61"/>
      <c r="L11" s="330">
        <v>8.15</v>
      </c>
      <c r="M11" s="61"/>
      <c r="N11" s="330">
        <v>8.36</v>
      </c>
      <c r="O11" s="61"/>
      <c r="P11" s="330">
        <v>8.64</v>
      </c>
      <c r="Q11" s="61"/>
      <c r="R11" s="330">
        <v>8.29</v>
      </c>
      <c r="S11" s="61"/>
      <c r="T11" s="330">
        <v>7.9</v>
      </c>
      <c r="U11" s="61"/>
      <c r="V11" s="330">
        <v>8.0</v>
      </c>
      <c r="W11" s="61"/>
      <c r="X11" s="330">
        <v>7.87</v>
      </c>
      <c r="Y11" s="61"/>
      <c r="Z11" s="330">
        <v>8.5</v>
      </c>
      <c r="AA11" s="61"/>
      <c r="AB11" s="1061">
        <v>8.357142857142858</v>
      </c>
      <c r="AC11" s="61"/>
      <c r="AD11" s="1061">
        <v>8.461538461538462</v>
      </c>
      <c r="AE11" s="61"/>
      <c r="AF11" s="1061">
        <v>8.428571428571429</v>
      </c>
      <c r="AG11" s="61"/>
      <c r="AH11" s="1061">
        <v>8.4375</v>
      </c>
      <c r="AI11" s="61"/>
      <c r="AJ11" s="1062">
        <v>8.545454545454545</v>
      </c>
      <c r="AK11" s="61"/>
      <c r="AL11" s="1061">
        <v>8.0</v>
      </c>
      <c r="AM11" s="61"/>
      <c r="AN11" s="1061">
        <v>8.384615384615385</v>
      </c>
      <c r="AO11" s="61"/>
      <c r="AP11" s="1061">
        <v>7.388888888888889</v>
      </c>
      <c r="AQ11" s="61"/>
      <c r="AR11" s="1061">
        <v>8.416666666666666</v>
      </c>
      <c r="AS11" s="61"/>
      <c r="AT11" s="330">
        <v>8.45</v>
      </c>
      <c r="AU11" s="61"/>
      <c r="AV11" s="330">
        <v>7.82</v>
      </c>
      <c r="AW11" s="61"/>
      <c r="AX11" s="326">
        <v>7.91</v>
      </c>
      <c r="AY11" s="328"/>
      <c r="AZ11" s="328"/>
    </row>
    <row r="12" ht="52.5" customHeight="1">
      <c r="A12" s="61"/>
      <c r="B12" s="715" t="s">
        <v>67</v>
      </c>
      <c r="C12" s="61"/>
      <c r="D12" s="330">
        <v>6.958333333333333</v>
      </c>
      <c r="E12" s="61"/>
      <c r="F12" s="330">
        <v>7.25</v>
      </c>
      <c r="G12" s="61"/>
      <c r="H12" s="1058">
        <v>7.69</v>
      </c>
      <c r="I12" s="61"/>
      <c r="J12" s="330">
        <v>7.75</v>
      </c>
      <c r="K12" s="61"/>
      <c r="L12" s="330">
        <v>7.62</v>
      </c>
      <c r="M12" s="61"/>
      <c r="N12" s="330">
        <v>7.71</v>
      </c>
      <c r="O12" s="61"/>
      <c r="P12" s="330">
        <v>8.0</v>
      </c>
      <c r="Q12" s="61"/>
      <c r="R12" s="330">
        <v>7.43</v>
      </c>
      <c r="S12" s="61"/>
      <c r="T12" s="330">
        <v>7.3</v>
      </c>
      <c r="U12" s="61"/>
      <c r="V12" s="330">
        <v>8.08</v>
      </c>
      <c r="W12" s="61"/>
      <c r="X12" s="330">
        <v>8.07</v>
      </c>
      <c r="Y12" s="61"/>
      <c r="Z12" s="330">
        <v>8.2</v>
      </c>
      <c r="AA12" s="61"/>
      <c r="AB12" s="1061">
        <v>8.0</v>
      </c>
      <c r="AC12" s="61"/>
      <c r="AD12" s="1061">
        <v>8.0</v>
      </c>
      <c r="AE12" s="61"/>
      <c r="AF12" s="1061">
        <v>8.428571428571429</v>
      </c>
      <c r="AG12" s="61"/>
      <c r="AH12" s="1061">
        <v>7.333333333333333</v>
      </c>
      <c r="AI12" s="61"/>
      <c r="AJ12" s="1062">
        <v>8.0</v>
      </c>
      <c r="AK12" s="61"/>
      <c r="AL12" s="1061">
        <v>6.866666666666666</v>
      </c>
      <c r="AM12" s="61"/>
      <c r="AN12" s="1061">
        <v>7.666666666666667</v>
      </c>
      <c r="AO12" s="61"/>
      <c r="AP12" s="1061">
        <v>7.944444444444445</v>
      </c>
      <c r="AQ12" s="61"/>
      <c r="AR12" s="1061">
        <v>7.083333333333333</v>
      </c>
      <c r="AS12" s="61"/>
      <c r="AT12" s="330">
        <v>7.91</v>
      </c>
      <c r="AU12" s="61"/>
      <c r="AV12" s="330">
        <v>7.64</v>
      </c>
      <c r="AW12" s="61"/>
      <c r="AX12" s="326">
        <v>7.55</v>
      </c>
      <c r="AY12" s="328"/>
      <c r="AZ12" s="328"/>
    </row>
    <row r="13" ht="52.5" customHeight="1">
      <c r="A13" s="61"/>
      <c r="B13" s="715" t="s">
        <v>172</v>
      </c>
      <c r="C13" s="61"/>
      <c r="D13" s="330">
        <v>7.666666666666667</v>
      </c>
      <c r="E13" s="61"/>
      <c r="F13" s="330">
        <v>7.666666666666667</v>
      </c>
      <c r="G13" s="61"/>
      <c r="H13" s="1058">
        <v>7.65</v>
      </c>
      <c r="I13" s="61"/>
      <c r="J13" s="330">
        <v>7.56</v>
      </c>
      <c r="K13" s="61"/>
      <c r="L13" s="330">
        <v>7.85</v>
      </c>
      <c r="M13" s="61"/>
      <c r="N13" s="330">
        <v>8.0</v>
      </c>
      <c r="O13" s="61"/>
      <c r="P13" s="330">
        <v>8.55</v>
      </c>
      <c r="Q13" s="61"/>
      <c r="R13" s="330">
        <v>7.75</v>
      </c>
      <c r="S13" s="61"/>
      <c r="T13" s="330">
        <v>7.4</v>
      </c>
      <c r="U13" s="61"/>
      <c r="V13" s="330">
        <v>7.83</v>
      </c>
      <c r="W13" s="61"/>
      <c r="X13" s="330">
        <v>7.93</v>
      </c>
      <c r="Y13" s="61"/>
      <c r="Z13" s="330">
        <v>8.31</v>
      </c>
      <c r="AA13" s="61"/>
      <c r="AB13" s="1061">
        <v>8.214285714285714</v>
      </c>
      <c r="AC13" s="61"/>
      <c r="AD13" s="1061">
        <v>8.076923076923077</v>
      </c>
      <c r="AE13" s="61"/>
      <c r="AF13" s="1061">
        <v>8.285714285714286</v>
      </c>
      <c r="AG13" s="61"/>
      <c r="AH13" s="1061">
        <v>8.1875</v>
      </c>
      <c r="AI13" s="61"/>
      <c r="AJ13" s="1062">
        <v>8.272727272727273</v>
      </c>
      <c r="AK13" s="61"/>
      <c r="AL13" s="1061">
        <v>7.866666666666666</v>
      </c>
      <c r="AM13" s="61"/>
      <c r="AN13" s="1061">
        <v>8.23076923076923</v>
      </c>
      <c r="AO13" s="61"/>
      <c r="AP13" s="1061">
        <v>7.277777777777778</v>
      </c>
      <c r="AQ13" s="61"/>
      <c r="AR13" s="1061">
        <v>7.5</v>
      </c>
      <c r="AS13" s="61"/>
      <c r="AT13" s="330">
        <v>8.55</v>
      </c>
      <c r="AU13" s="61"/>
      <c r="AV13" s="330">
        <v>8.0</v>
      </c>
      <c r="AW13" s="61"/>
      <c r="AX13" s="326">
        <v>7.82</v>
      </c>
      <c r="AY13" s="328"/>
      <c r="AZ13" s="328"/>
    </row>
    <row r="14" ht="52.5" customHeight="1">
      <c r="A14" s="61"/>
      <c r="B14" s="715" t="s">
        <v>38</v>
      </c>
      <c r="C14" s="61"/>
      <c r="D14" s="330">
        <v>7.434782608695652</v>
      </c>
      <c r="E14" s="61"/>
      <c r="F14" s="330">
        <v>7.608695652173913</v>
      </c>
      <c r="G14" s="61"/>
      <c r="H14" s="1058">
        <v>7.18</v>
      </c>
      <c r="I14" s="61"/>
      <c r="J14" s="330">
        <v>7.0</v>
      </c>
      <c r="K14" s="61"/>
      <c r="L14" s="330">
        <v>7.23</v>
      </c>
      <c r="M14" s="61"/>
      <c r="N14" s="330">
        <v>7.62</v>
      </c>
      <c r="O14" s="61"/>
      <c r="P14" s="330">
        <v>7.82</v>
      </c>
      <c r="Q14" s="61"/>
      <c r="R14" s="330">
        <v>7.57</v>
      </c>
      <c r="S14" s="61"/>
      <c r="T14" s="330">
        <v>7.0</v>
      </c>
      <c r="U14" s="61"/>
      <c r="V14" s="330">
        <v>7.18</v>
      </c>
      <c r="W14" s="61"/>
      <c r="X14" s="330">
        <v>6.6</v>
      </c>
      <c r="Y14" s="61"/>
      <c r="Z14" s="330">
        <v>7.94</v>
      </c>
      <c r="AA14" s="61"/>
      <c r="AB14" s="1061">
        <v>8.0</v>
      </c>
      <c r="AC14" s="61"/>
      <c r="AD14" s="1061">
        <v>7.230769230769231</v>
      </c>
      <c r="AE14" s="61"/>
      <c r="AF14" s="1061">
        <v>7.076923076923077</v>
      </c>
      <c r="AG14" s="61"/>
      <c r="AH14" s="1061">
        <v>7.714285714285714</v>
      </c>
      <c r="AI14" s="61"/>
      <c r="AJ14" s="1062">
        <v>8.363636363636363</v>
      </c>
      <c r="AK14" s="61"/>
      <c r="AL14" s="1061">
        <v>7.533333333333333</v>
      </c>
      <c r="AM14" s="61"/>
      <c r="AN14" s="1061">
        <v>8.0</v>
      </c>
      <c r="AO14" s="61"/>
      <c r="AP14" s="1061">
        <v>7.666666666666667</v>
      </c>
      <c r="AQ14" s="61"/>
      <c r="AR14" s="1061">
        <v>7.2727272727272725</v>
      </c>
      <c r="AS14" s="61"/>
      <c r="AT14" s="330">
        <v>7.55</v>
      </c>
      <c r="AU14" s="61"/>
      <c r="AV14" s="330">
        <v>7.45</v>
      </c>
      <c r="AW14" s="61"/>
      <c r="AX14" s="326">
        <v>7.64</v>
      </c>
      <c r="AY14" s="328"/>
      <c r="AZ14" s="328"/>
    </row>
    <row r="15" ht="52.5" customHeight="1">
      <c r="A15" s="69"/>
      <c r="B15" s="715" t="s">
        <v>39</v>
      </c>
      <c r="C15" s="69"/>
      <c r="D15" s="330">
        <v>7.166666666666667</v>
      </c>
      <c r="E15" s="69"/>
      <c r="F15" s="330">
        <v>7.666666666666667</v>
      </c>
      <c r="G15" s="69"/>
      <c r="H15" s="1058">
        <v>7.18</v>
      </c>
      <c r="I15" s="69"/>
      <c r="J15" s="330">
        <v>7.75</v>
      </c>
      <c r="K15" s="69"/>
      <c r="L15" s="330">
        <v>7.77</v>
      </c>
      <c r="M15" s="69"/>
      <c r="N15" s="330">
        <v>8.14</v>
      </c>
      <c r="O15" s="69"/>
      <c r="P15" s="330">
        <v>8.27</v>
      </c>
      <c r="Q15" s="69"/>
      <c r="R15" s="330">
        <v>7.63</v>
      </c>
      <c r="S15" s="69"/>
      <c r="T15" s="330">
        <v>7.1</v>
      </c>
      <c r="U15" s="69"/>
      <c r="V15" s="330">
        <v>7.75</v>
      </c>
      <c r="W15" s="69"/>
      <c r="X15" s="330">
        <v>7.2</v>
      </c>
      <c r="Y15" s="69"/>
      <c r="Z15" s="330">
        <v>8.0</v>
      </c>
      <c r="AA15" s="69"/>
      <c r="AB15" s="1061">
        <v>8.307692307692308</v>
      </c>
      <c r="AC15" s="69"/>
      <c r="AD15" s="1061">
        <v>8.0</v>
      </c>
      <c r="AE15" s="69"/>
      <c r="AF15" s="1061">
        <v>7.6923076923076925</v>
      </c>
      <c r="AG15" s="69"/>
      <c r="AH15" s="1061">
        <v>8.357142857142858</v>
      </c>
      <c r="AI15" s="69"/>
      <c r="AJ15" s="1062">
        <v>8.11111111111111</v>
      </c>
      <c r="AK15" s="69"/>
      <c r="AL15" s="1061">
        <v>7.785714285714286</v>
      </c>
      <c r="AM15" s="69"/>
      <c r="AN15" s="1061">
        <v>7.909090909090909</v>
      </c>
      <c r="AO15" s="69"/>
      <c r="AP15" s="1061">
        <v>7.705882352941177</v>
      </c>
      <c r="AQ15" s="69"/>
      <c r="AR15" s="1061">
        <v>7.909090909090909</v>
      </c>
      <c r="AS15" s="69"/>
      <c r="AT15" s="330">
        <v>7.82</v>
      </c>
      <c r="AU15" s="69"/>
      <c r="AV15" s="330">
        <v>8.0</v>
      </c>
      <c r="AW15" s="69"/>
      <c r="AX15" s="326">
        <v>8.0</v>
      </c>
      <c r="AY15" s="328"/>
      <c r="AZ15" s="328"/>
    </row>
    <row r="16" ht="52.5" customHeight="1">
      <c r="A16" s="718" t="s">
        <v>42</v>
      </c>
      <c r="B16" s="719" t="s">
        <v>41</v>
      </c>
      <c r="C16" s="1056">
        <f>AVERAGE(D16:D20)</f>
        <v>8.033333333</v>
      </c>
      <c r="D16" s="330">
        <v>8.166666666666666</v>
      </c>
      <c r="E16" s="1056">
        <f>AVERAGE(F16:F20)</f>
        <v>8.081521739</v>
      </c>
      <c r="F16" s="330">
        <v>8.541666666666666</v>
      </c>
      <c r="G16" s="1056">
        <f>AVERAGE(H16:H20)</f>
        <v>7.672</v>
      </c>
      <c r="H16" s="1058">
        <v>7.65</v>
      </c>
      <c r="I16" s="1056">
        <f>AVERAGE(J16:J20)</f>
        <v>7.266</v>
      </c>
      <c r="J16" s="330">
        <v>7.88</v>
      </c>
      <c r="K16" s="1056">
        <f>AVERAGE(L16:L20)</f>
        <v>8.076</v>
      </c>
      <c r="L16" s="330">
        <v>8.46</v>
      </c>
      <c r="M16" s="1056">
        <f>AVERAGE(N16:N20)</f>
        <v>7.882</v>
      </c>
      <c r="N16" s="330">
        <v>8.5</v>
      </c>
      <c r="O16" s="1056">
        <f>AVERAGE(P16:P20)</f>
        <v>8.292</v>
      </c>
      <c r="P16" s="330">
        <v>9.09</v>
      </c>
      <c r="Q16" s="1056">
        <f>AVERAGE(R16:R20)</f>
        <v>7.002</v>
      </c>
      <c r="R16" s="330">
        <v>7.25</v>
      </c>
      <c r="S16" s="1056">
        <f>AVERAGE(T16:T20)</f>
        <v>6.816</v>
      </c>
      <c r="T16" s="330">
        <v>7.0</v>
      </c>
      <c r="U16" s="1056">
        <f>AVERAGE(V16:V20)</f>
        <v>7.054</v>
      </c>
      <c r="V16" s="330">
        <v>7.42</v>
      </c>
      <c r="W16" s="1056">
        <f>AVERAGE(X16:X20)</f>
        <v>7.856</v>
      </c>
      <c r="X16" s="330">
        <v>8.0</v>
      </c>
      <c r="Y16" s="1056">
        <f>AVERAGE(Z16:Z20)</f>
        <v>8.376</v>
      </c>
      <c r="Z16" s="330">
        <v>8.81</v>
      </c>
      <c r="AA16" s="1056">
        <f>AVERAGE(AB16:AB20)</f>
        <v>8.065934066</v>
      </c>
      <c r="AB16" s="1061">
        <v>8.857142857142858</v>
      </c>
      <c r="AC16" s="1056">
        <f>AVERAGE(AD16:AD20)</f>
        <v>7.778205128</v>
      </c>
      <c r="AD16" s="1061">
        <v>8.0</v>
      </c>
      <c r="AE16" s="1056">
        <f>AVERAGE(AF16:AF20)</f>
        <v>7.553846154</v>
      </c>
      <c r="AF16" s="1061">
        <v>8.142857142857142</v>
      </c>
      <c r="AG16" s="1056">
        <f>AVERAGE(AH16:AH20)</f>
        <v>7.5725</v>
      </c>
      <c r="AH16" s="1061">
        <v>8.0</v>
      </c>
      <c r="AI16" s="1056">
        <f>AVERAGE(AJ16:AJ20)</f>
        <v>8.696363636</v>
      </c>
      <c r="AJ16" s="1062">
        <v>9.181818181818182</v>
      </c>
      <c r="AK16" s="1056">
        <f>AVERAGE(AL16:AL20)</f>
        <v>7.516190476</v>
      </c>
      <c r="AL16" s="1061">
        <v>7.4</v>
      </c>
      <c r="AM16" s="1056">
        <f>AVERAGE(AN16:AN20)</f>
        <v>7.361188811</v>
      </c>
      <c r="AN16" s="1061">
        <v>7.6923076923076925</v>
      </c>
      <c r="AO16" s="1056">
        <f>AVERAGE(AP16:AP20)</f>
        <v>8.232026144</v>
      </c>
      <c r="AP16" s="1061">
        <v>7.944444444444445</v>
      </c>
      <c r="AQ16" s="1056">
        <f>AVERAGE(AR16:AR20)</f>
        <v>7.271212121</v>
      </c>
      <c r="AR16" s="1061">
        <v>7.833333333333333</v>
      </c>
      <c r="AS16" s="1056">
        <f>AVERAGE(AT16:AT20)</f>
        <v>8.218</v>
      </c>
      <c r="AT16" s="330">
        <v>8.82</v>
      </c>
      <c r="AU16" s="1056">
        <f>AVERAGE(AV16:AV20)</f>
        <v>7.42</v>
      </c>
      <c r="AV16" s="330">
        <v>8.0</v>
      </c>
      <c r="AW16" s="1056">
        <f>AVERAGE(AX16:AX20)</f>
        <v>7.728</v>
      </c>
      <c r="AX16" s="326">
        <v>7.73</v>
      </c>
      <c r="AY16" s="328"/>
      <c r="AZ16" s="328"/>
    </row>
    <row r="17" ht="52.5" customHeight="1">
      <c r="A17" s="61"/>
      <c r="B17" s="719" t="s">
        <v>43</v>
      </c>
      <c r="C17" s="61"/>
      <c r="D17" s="330">
        <v>7.791666666666667</v>
      </c>
      <c r="E17" s="61"/>
      <c r="F17" s="330">
        <v>7.875</v>
      </c>
      <c r="G17" s="61"/>
      <c r="H17" s="1058">
        <v>7.71</v>
      </c>
      <c r="I17" s="61"/>
      <c r="J17" s="330">
        <v>6.88</v>
      </c>
      <c r="K17" s="61"/>
      <c r="L17" s="330">
        <v>8.0</v>
      </c>
      <c r="M17" s="61"/>
      <c r="N17" s="330">
        <v>7.57</v>
      </c>
      <c r="O17" s="61"/>
      <c r="P17" s="330">
        <v>8.18</v>
      </c>
      <c r="Q17" s="61"/>
      <c r="R17" s="330">
        <v>6.75</v>
      </c>
      <c r="S17" s="61"/>
      <c r="T17" s="330">
        <v>6.9</v>
      </c>
      <c r="U17" s="61"/>
      <c r="V17" s="330">
        <v>7.08</v>
      </c>
      <c r="W17" s="61"/>
      <c r="X17" s="330">
        <v>8.27</v>
      </c>
      <c r="Y17" s="61"/>
      <c r="Z17" s="330">
        <v>8.63</v>
      </c>
      <c r="AA17" s="61"/>
      <c r="AB17" s="1061">
        <v>8.0</v>
      </c>
      <c r="AC17" s="61"/>
      <c r="AD17" s="1061">
        <v>7.833333333333333</v>
      </c>
      <c r="AE17" s="61"/>
      <c r="AF17" s="1061">
        <v>7.538461538461538</v>
      </c>
      <c r="AG17" s="61"/>
      <c r="AH17" s="1061">
        <v>7.666666666666667</v>
      </c>
      <c r="AI17" s="61"/>
      <c r="AJ17" s="1062">
        <v>8.818181818181818</v>
      </c>
      <c r="AK17" s="61"/>
      <c r="AL17" s="1061">
        <v>7.571428571428571</v>
      </c>
      <c r="AM17" s="61"/>
      <c r="AN17" s="1061">
        <v>7.583333333333333</v>
      </c>
      <c r="AO17" s="61"/>
      <c r="AP17" s="1061">
        <v>7.882352941176471</v>
      </c>
      <c r="AQ17" s="61"/>
      <c r="AR17" s="1061">
        <v>7.25</v>
      </c>
      <c r="AS17" s="61"/>
      <c r="AT17" s="330">
        <v>8.36</v>
      </c>
      <c r="AU17" s="61"/>
      <c r="AV17" s="330">
        <v>7.55</v>
      </c>
      <c r="AW17" s="61"/>
      <c r="AX17" s="326">
        <v>8.09</v>
      </c>
      <c r="AY17" s="1063"/>
      <c r="AZ17" s="1063"/>
    </row>
    <row r="18" ht="52.5" customHeight="1">
      <c r="A18" s="61"/>
      <c r="B18" s="719" t="s">
        <v>175</v>
      </c>
      <c r="C18" s="61"/>
      <c r="D18" s="330">
        <v>7.833333333333333</v>
      </c>
      <c r="E18" s="61"/>
      <c r="F18" s="330">
        <v>7.583333333333333</v>
      </c>
      <c r="G18" s="61"/>
      <c r="H18" s="1058">
        <v>7.88</v>
      </c>
      <c r="I18" s="61"/>
      <c r="J18" s="330">
        <v>6.88</v>
      </c>
      <c r="K18" s="61"/>
      <c r="L18" s="330">
        <v>7.92</v>
      </c>
      <c r="M18" s="61"/>
      <c r="N18" s="330">
        <v>7.38</v>
      </c>
      <c r="O18" s="61"/>
      <c r="P18" s="330">
        <v>7.73</v>
      </c>
      <c r="Q18" s="61"/>
      <c r="R18" s="330">
        <v>6.75</v>
      </c>
      <c r="S18" s="61"/>
      <c r="T18" s="330">
        <v>6.6</v>
      </c>
      <c r="U18" s="61"/>
      <c r="V18" s="330">
        <v>6.67</v>
      </c>
      <c r="W18" s="61"/>
      <c r="X18" s="330">
        <v>7.47</v>
      </c>
      <c r="Y18" s="61"/>
      <c r="Z18" s="330">
        <v>8.0</v>
      </c>
      <c r="AA18" s="61"/>
      <c r="AB18" s="1061">
        <v>7.357142857142857</v>
      </c>
      <c r="AC18" s="61"/>
      <c r="AD18" s="1061">
        <v>7.3076923076923075</v>
      </c>
      <c r="AE18" s="61"/>
      <c r="AF18" s="1061">
        <v>7.0</v>
      </c>
      <c r="AG18" s="61"/>
      <c r="AH18" s="1061">
        <v>7.0625</v>
      </c>
      <c r="AI18" s="61"/>
      <c r="AJ18" s="1062">
        <v>8.272727272727273</v>
      </c>
      <c r="AK18" s="61"/>
      <c r="AL18" s="1061">
        <v>7.466666666666667</v>
      </c>
      <c r="AM18" s="61"/>
      <c r="AN18" s="1061">
        <v>7.0</v>
      </c>
      <c r="AO18" s="61"/>
      <c r="AP18" s="1061">
        <v>9.0</v>
      </c>
      <c r="AQ18" s="61"/>
      <c r="AR18" s="1061">
        <v>6.916666666666667</v>
      </c>
      <c r="AS18" s="61"/>
      <c r="AT18" s="330">
        <v>7.73</v>
      </c>
      <c r="AU18" s="61"/>
      <c r="AV18" s="330">
        <v>6.73</v>
      </c>
      <c r="AW18" s="61"/>
      <c r="AX18" s="326">
        <v>7.73</v>
      </c>
      <c r="AY18" s="328"/>
      <c r="AZ18" s="328"/>
    </row>
    <row r="19" ht="52.5" customHeight="1">
      <c r="A19" s="61"/>
      <c r="B19" s="719" t="s">
        <v>45</v>
      </c>
      <c r="C19" s="61"/>
      <c r="D19" s="330">
        <v>7.75</v>
      </c>
      <c r="E19" s="61"/>
      <c r="F19" s="330">
        <v>7.782608695652174</v>
      </c>
      <c r="G19" s="61"/>
      <c r="H19" s="1058">
        <v>7.94</v>
      </c>
      <c r="I19" s="61"/>
      <c r="J19" s="330">
        <v>6.83</v>
      </c>
      <c r="K19" s="61"/>
      <c r="L19" s="330">
        <v>8.08</v>
      </c>
      <c r="M19" s="61"/>
      <c r="N19" s="330">
        <v>7.42</v>
      </c>
      <c r="O19" s="61"/>
      <c r="P19" s="330">
        <v>7.82</v>
      </c>
      <c r="Q19" s="61"/>
      <c r="R19" s="330">
        <v>7.38</v>
      </c>
      <c r="S19" s="61"/>
      <c r="T19" s="330">
        <v>6.8</v>
      </c>
      <c r="U19" s="61"/>
      <c r="V19" s="330">
        <v>6.83</v>
      </c>
      <c r="W19" s="61"/>
      <c r="X19" s="330">
        <v>7.67</v>
      </c>
      <c r="Y19" s="61"/>
      <c r="Z19" s="330">
        <v>7.88</v>
      </c>
      <c r="AA19" s="61"/>
      <c r="AB19" s="1061">
        <v>7.615384615384615</v>
      </c>
      <c r="AC19" s="61"/>
      <c r="AD19" s="1061">
        <v>7.75</v>
      </c>
      <c r="AE19" s="61"/>
      <c r="AF19" s="1061">
        <v>7.230769230769231</v>
      </c>
      <c r="AG19" s="61"/>
      <c r="AH19" s="1061">
        <v>7.2</v>
      </c>
      <c r="AI19" s="61"/>
      <c r="AJ19" s="1062">
        <v>8.3</v>
      </c>
      <c r="AK19" s="61"/>
      <c r="AL19" s="1061">
        <v>7.571428571428571</v>
      </c>
      <c r="AM19" s="61"/>
      <c r="AN19" s="1061">
        <v>7.166666666666667</v>
      </c>
      <c r="AO19" s="61"/>
      <c r="AP19" s="1061">
        <v>8.61111111111111</v>
      </c>
      <c r="AQ19" s="61"/>
      <c r="AR19" s="1061">
        <v>7.083333333333333</v>
      </c>
      <c r="AS19" s="61"/>
      <c r="AT19" s="330">
        <v>7.82</v>
      </c>
      <c r="AU19" s="61"/>
      <c r="AV19" s="330">
        <v>7.09</v>
      </c>
      <c r="AW19" s="61"/>
      <c r="AX19" s="326">
        <v>7.64</v>
      </c>
      <c r="AY19" s="328"/>
      <c r="AZ19" s="328"/>
    </row>
    <row r="20" ht="52.5" customHeight="1">
      <c r="A20" s="69"/>
      <c r="B20" s="719" t="s">
        <v>46</v>
      </c>
      <c r="C20" s="69"/>
      <c r="D20" s="330">
        <v>8.625</v>
      </c>
      <c r="E20" s="69"/>
      <c r="F20" s="330">
        <v>8.625</v>
      </c>
      <c r="G20" s="69"/>
      <c r="H20" s="1058">
        <v>7.18</v>
      </c>
      <c r="I20" s="69"/>
      <c r="J20" s="330">
        <v>7.86</v>
      </c>
      <c r="K20" s="69"/>
      <c r="L20" s="330">
        <v>7.92</v>
      </c>
      <c r="M20" s="69"/>
      <c r="N20" s="330">
        <v>8.54</v>
      </c>
      <c r="O20" s="69"/>
      <c r="P20" s="330">
        <v>8.64</v>
      </c>
      <c r="Q20" s="69"/>
      <c r="R20" s="330">
        <v>6.88</v>
      </c>
      <c r="S20" s="69"/>
      <c r="T20" s="330">
        <v>6.78</v>
      </c>
      <c r="U20" s="69"/>
      <c r="V20" s="330">
        <v>7.27</v>
      </c>
      <c r="W20" s="69"/>
      <c r="X20" s="330">
        <v>7.87</v>
      </c>
      <c r="Y20" s="69"/>
      <c r="Z20" s="330">
        <v>8.56</v>
      </c>
      <c r="AA20" s="69"/>
      <c r="AB20" s="1061">
        <v>8.5</v>
      </c>
      <c r="AC20" s="69"/>
      <c r="AD20" s="1061">
        <v>8.0</v>
      </c>
      <c r="AE20" s="69"/>
      <c r="AF20" s="1061">
        <v>7.857142857142857</v>
      </c>
      <c r="AG20" s="69"/>
      <c r="AH20" s="1061">
        <v>7.933333333333334</v>
      </c>
      <c r="AI20" s="69"/>
      <c r="AJ20" s="1062">
        <v>8.909090909090908</v>
      </c>
      <c r="AK20" s="69"/>
      <c r="AL20" s="1061">
        <v>7.571428571428571</v>
      </c>
      <c r="AM20" s="69"/>
      <c r="AN20" s="1061">
        <v>7.363636363636363</v>
      </c>
      <c r="AO20" s="69"/>
      <c r="AP20" s="1061">
        <v>7.722222222222222</v>
      </c>
      <c r="AQ20" s="69"/>
      <c r="AR20" s="1061">
        <v>7.2727272727272725</v>
      </c>
      <c r="AS20" s="69"/>
      <c r="AT20" s="330">
        <v>8.36</v>
      </c>
      <c r="AU20" s="69"/>
      <c r="AV20" s="330">
        <v>7.73</v>
      </c>
      <c r="AW20" s="69"/>
      <c r="AX20" s="326">
        <v>7.45</v>
      </c>
      <c r="AY20" s="328"/>
      <c r="AZ20" s="328"/>
    </row>
    <row r="21" ht="52.5" customHeight="1">
      <c r="A21" s="721" t="s">
        <v>49</v>
      </c>
      <c r="B21" s="722" t="s">
        <v>50</v>
      </c>
      <c r="C21" s="1056">
        <f>AVERAGE(D21:D25)</f>
        <v>7.691666667</v>
      </c>
      <c r="D21" s="330">
        <v>7.875</v>
      </c>
      <c r="E21" s="1056">
        <f>AVERAGE(F21:F25)</f>
        <v>8.125</v>
      </c>
      <c r="F21" s="330">
        <v>8.75</v>
      </c>
      <c r="G21" s="1056">
        <f>AVERAGE(H21:H25)</f>
        <v>8.166</v>
      </c>
      <c r="H21" s="1058">
        <v>8.47</v>
      </c>
      <c r="I21" s="1056">
        <f>AVERAGE(J21:J25)</f>
        <v>7.822</v>
      </c>
      <c r="J21" s="330">
        <v>8.0</v>
      </c>
      <c r="K21" s="1056">
        <f>AVERAGE(L21:L25)</f>
        <v>8.494</v>
      </c>
      <c r="L21" s="330">
        <v>8.85</v>
      </c>
      <c r="M21" s="1056">
        <f>AVERAGE(N21:N25)</f>
        <v>8.63</v>
      </c>
      <c r="N21" s="330">
        <v>8.64</v>
      </c>
      <c r="O21" s="1056">
        <f>AVERAGE(P21:P25)</f>
        <v>8.528</v>
      </c>
      <c r="P21" s="330">
        <v>9.0</v>
      </c>
      <c r="Q21" s="1056">
        <f>AVERAGE(R21:R25)</f>
        <v>7.956</v>
      </c>
      <c r="R21" s="330">
        <v>7.89</v>
      </c>
      <c r="S21" s="1056">
        <f>AVERAGE(T21:T25)</f>
        <v>8.02</v>
      </c>
      <c r="T21" s="330">
        <v>8.2</v>
      </c>
      <c r="U21" s="1056">
        <f>AVERAGE(V21:V25)</f>
        <v>7.784</v>
      </c>
      <c r="V21" s="330">
        <v>8.17</v>
      </c>
      <c r="W21" s="1056">
        <f>AVERAGE(X21:X25)</f>
        <v>8.358434783</v>
      </c>
      <c r="X21" s="330">
        <v>8.6</v>
      </c>
      <c r="Y21" s="1057">
        <f>AVERAGE(Z21:Z25)</f>
        <v>8.638</v>
      </c>
      <c r="Z21" s="330">
        <v>9.0</v>
      </c>
      <c r="AA21" s="1056">
        <f>AVERAGE(AB21:AB25)</f>
        <v>8.463736264</v>
      </c>
      <c r="AB21" s="1061">
        <v>8.642857142857142</v>
      </c>
      <c r="AC21" s="1056">
        <f>AVERAGE(AD21:AD25)</f>
        <v>8.215384615</v>
      </c>
      <c r="AD21" s="1061">
        <v>8.384615384615385</v>
      </c>
      <c r="AE21" s="1056">
        <f>AVERAGE(AF21:AF25)</f>
        <v>7.620879121</v>
      </c>
      <c r="AF21" s="1061">
        <v>7.357142857142857</v>
      </c>
      <c r="AG21" s="1056">
        <f>AVERAGE(AH21:AH25)</f>
        <v>8.046428571</v>
      </c>
      <c r="AH21" s="1061">
        <v>8.125</v>
      </c>
      <c r="AI21" s="1056">
        <f>AVERAGE(AJ21:AJ25)</f>
        <v>7.933333333</v>
      </c>
      <c r="AJ21" s="1062">
        <v>8.090909090909092</v>
      </c>
      <c r="AK21" s="1056">
        <f>AVERAGE(AL21:AL25)</f>
        <v>8.015238095</v>
      </c>
      <c r="AL21" s="1061">
        <v>8.066666666666666</v>
      </c>
      <c r="AM21" s="1056">
        <f>AVERAGE(AN21:AN25)</f>
        <v>7.86993007</v>
      </c>
      <c r="AN21" s="1061">
        <v>8.0</v>
      </c>
      <c r="AO21" s="1056">
        <f>AVERAGE(AP21:AP25)</f>
        <v>8.307189542</v>
      </c>
      <c r="AP21" s="1061">
        <v>8.777777777777779</v>
      </c>
      <c r="AQ21" s="1056">
        <f>AVERAGE(AR21:AR25)</f>
        <v>8.578787879</v>
      </c>
      <c r="AR21" s="1061">
        <v>8.75</v>
      </c>
      <c r="AS21" s="1056">
        <f>AVERAGE(AT21:AT25)</f>
        <v>8.656</v>
      </c>
      <c r="AT21" s="330">
        <v>8.64</v>
      </c>
      <c r="AU21" s="1056">
        <f>AVERAGE(AV21:AV25)</f>
        <v>7.926</v>
      </c>
      <c r="AV21" s="330">
        <v>8.27</v>
      </c>
      <c r="AW21" s="1056">
        <f>AVERAGE(AX21:AX25)</f>
        <v>8.82</v>
      </c>
      <c r="AX21" s="326">
        <v>9.09</v>
      </c>
      <c r="AY21" s="1063"/>
      <c r="AZ21" s="1063"/>
    </row>
    <row r="22" ht="52.5" customHeight="1">
      <c r="A22" s="61"/>
      <c r="B22" s="722" t="s">
        <v>178</v>
      </c>
      <c r="C22" s="61"/>
      <c r="D22" s="330">
        <v>6.833333333333333</v>
      </c>
      <c r="E22" s="61"/>
      <c r="F22" s="330">
        <v>7.333333333333333</v>
      </c>
      <c r="G22" s="61"/>
      <c r="H22" s="1058">
        <v>8.71</v>
      </c>
      <c r="I22" s="61"/>
      <c r="J22" s="330">
        <v>8.22</v>
      </c>
      <c r="K22" s="61"/>
      <c r="L22" s="330">
        <v>8.46</v>
      </c>
      <c r="M22" s="61"/>
      <c r="N22" s="330">
        <v>8.5</v>
      </c>
      <c r="O22" s="61"/>
      <c r="P22" s="330">
        <v>8.91</v>
      </c>
      <c r="Q22" s="61"/>
      <c r="R22" s="330">
        <v>9.0</v>
      </c>
      <c r="S22" s="61"/>
      <c r="T22" s="330">
        <v>8.2</v>
      </c>
      <c r="U22" s="61"/>
      <c r="V22" s="330">
        <v>7.67</v>
      </c>
      <c r="W22" s="61"/>
      <c r="X22" s="330">
        <v>8.67</v>
      </c>
      <c r="Y22" s="61"/>
      <c r="Z22" s="330">
        <v>9.0</v>
      </c>
      <c r="AA22" s="61"/>
      <c r="AB22" s="1061">
        <v>9.142857142857142</v>
      </c>
      <c r="AC22" s="61"/>
      <c r="AD22" s="1061">
        <v>8.692307692307692</v>
      </c>
      <c r="AE22" s="61"/>
      <c r="AF22" s="1061">
        <v>8.642857142857142</v>
      </c>
      <c r="AG22" s="61"/>
      <c r="AH22" s="1061">
        <v>8.875</v>
      </c>
      <c r="AI22" s="61"/>
      <c r="AJ22" s="1062">
        <v>8.454545454545455</v>
      </c>
      <c r="AK22" s="61"/>
      <c r="AL22" s="1061">
        <v>8.2</v>
      </c>
      <c r="AM22" s="61"/>
      <c r="AN22" s="1061">
        <v>8.692307692307692</v>
      </c>
      <c r="AO22" s="61"/>
      <c r="AP22" s="1061">
        <v>8.38888888888889</v>
      </c>
      <c r="AQ22" s="61"/>
      <c r="AR22" s="1061">
        <v>9.0</v>
      </c>
      <c r="AS22" s="61"/>
      <c r="AT22" s="330">
        <v>9.0</v>
      </c>
      <c r="AU22" s="61"/>
      <c r="AV22" s="330">
        <v>8.36</v>
      </c>
      <c r="AW22" s="61"/>
      <c r="AX22" s="326">
        <v>8.73</v>
      </c>
      <c r="AY22" s="328"/>
      <c r="AZ22" s="328"/>
    </row>
    <row r="23" ht="52.5" customHeight="1">
      <c r="A23" s="61"/>
      <c r="B23" s="722" t="s">
        <v>180</v>
      </c>
      <c r="C23" s="61"/>
      <c r="D23" s="330">
        <v>8.166666666666666</v>
      </c>
      <c r="E23" s="61"/>
      <c r="F23" s="330">
        <v>8.041666666666666</v>
      </c>
      <c r="G23" s="61"/>
      <c r="H23" s="1058">
        <v>7.65</v>
      </c>
      <c r="I23" s="61"/>
      <c r="J23" s="330">
        <v>7.44</v>
      </c>
      <c r="K23" s="61"/>
      <c r="L23" s="330">
        <v>7.85</v>
      </c>
      <c r="M23" s="61"/>
      <c r="N23" s="330">
        <v>8.29</v>
      </c>
      <c r="O23" s="61"/>
      <c r="P23" s="330">
        <v>7.64</v>
      </c>
      <c r="Q23" s="61"/>
      <c r="R23" s="330">
        <v>7.22</v>
      </c>
      <c r="S23" s="61"/>
      <c r="T23" s="330">
        <v>7.4</v>
      </c>
      <c r="U23" s="61"/>
      <c r="V23" s="330">
        <v>7.58</v>
      </c>
      <c r="W23" s="61"/>
      <c r="X23" s="330">
        <v>8.07</v>
      </c>
      <c r="Y23" s="61"/>
      <c r="Z23" s="330">
        <v>7.88</v>
      </c>
      <c r="AA23" s="61"/>
      <c r="AB23" s="1061">
        <v>7.928571428571429</v>
      </c>
      <c r="AC23" s="61"/>
      <c r="AD23" s="1061">
        <v>7.461538461538462</v>
      </c>
      <c r="AE23" s="61"/>
      <c r="AF23" s="1061">
        <v>6.857142857142857</v>
      </c>
      <c r="AG23" s="61"/>
      <c r="AH23" s="1061">
        <v>7.375</v>
      </c>
      <c r="AI23" s="61"/>
      <c r="AJ23" s="1062">
        <v>7.363636363636363</v>
      </c>
      <c r="AK23" s="61"/>
      <c r="AL23" s="1061">
        <v>7.6</v>
      </c>
      <c r="AM23" s="61"/>
      <c r="AN23" s="1061">
        <v>7.0</v>
      </c>
      <c r="AO23" s="61"/>
      <c r="AP23" s="1061">
        <v>7.555555555555555</v>
      </c>
      <c r="AQ23" s="61"/>
      <c r="AR23" s="1061">
        <v>7.916666666666667</v>
      </c>
      <c r="AS23" s="61"/>
      <c r="AT23" s="330">
        <v>8.27</v>
      </c>
      <c r="AU23" s="61"/>
      <c r="AV23" s="330">
        <v>7.27</v>
      </c>
      <c r="AW23" s="61"/>
      <c r="AX23" s="326">
        <v>8.73</v>
      </c>
      <c r="AY23" s="328"/>
      <c r="AZ23" s="328"/>
    </row>
    <row r="24" ht="52.5" customHeight="1">
      <c r="A24" s="61"/>
      <c r="B24" s="722" t="s">
        <v>182</v>
      </c>
      <c r="C24" s="61"/>
      <c r="D24" s="330">
        <v>8.5</v>
      </c>
      <c r="E24" s="61"/>
      <c r="F24" s="330">
        <v>8.583333333333334</v>
      </c>
      <c r="G24" s="61"/>
      <c r="H24" s="1058">
        <v>8.0</v>
      </c>
      <c r="I24" s="61"/>
      <c r="J24" s="330">
        <v>7.78</v>
      </c>
      <c r="K24" s="61"/>
      <c r="L24" s="330">
        <v>8.85</v>
      </c>
      <c r="M24" s="61"/>
      <c r="N24" s="330">
        <v>8.93</v>
      </c>
      <c r="O24" s="61"/>
      <c r="P24" s="330">
        <v>8.64</v>
      </c>
      <c r="Q24" s="61"/>
      <c r="R24" s="330">
        <v>7.67</v>
      </c>
      <c r="S24" s="61"/>
      <c r="T24" s="330">
        <v>8.4</v>
      </c>
      <c r="U24" s="61"/>
      <c r="V24" s="330">
        <v>7.75</v>
      </c>
      <c r="W24" s="61"/>
      <c r="X24" s="330">
        <v>7.6521739130434785</v>
      </c>
      <c r="Y24" s="61"/>
      <c r="Z24" s="330">
        <v>8.75</v>
      </c>
      <c r="AA24" s="61"/>
      <c r="AB24" s="1061">
        <v>8.142857142857142</v>
      </c>
      <c r="AC24" s="61"/>
      <c r="AD24" s="1061">
        <v>8.0</v>
      </c>
      <c r="AE24" s="61"/>
      <c r="AF24" s="1061">
        <v>6.785714285714286</v>
      </c>
      <c r="AG24" s="61"/>
      <c r="AH24" s="1061">
        <v>7.5</v>
      </c>
      <c r="AI24" s="61"/>
      <c r="AJ24" s="1062">
        <v>8.090909090909092</v>
      </c>
      <c r="AK24" s="61"/>
      <c r="AL24" s="1061">
        <v>8.066666666666666</v>
      </c>
      <c r="AM24" s="61"/>
      <c r="AN24" s="1061">
        <v>7.384615384615385</v>
      </c>
      <c r="AO24" s="61"/>
      <c r="AP24" s="1061">
        <v>8.166666666666666</v>
      </c>
      <c r="AQ24" s="61"/>
      <c r="AR24" s="1061">
        <v>8.5</v>
      </c>
      <c r="AS24" s="61"/>
      <c r="AT24" s="330">
        <v>8.82</v>
      </c>
      <c r="AU24" s="61"/>
      <c r="AV24" s="330">
        <v>7.82</v>
      </c>
      <c r="AW24" s="61"/>
      <c r="AX24" s="326">
        <v>8.73</v>
      </c>
      <c r="AY24" s="328"/>
      <c r="AZ24" s="328"/>
    </row>
    <row r="25" ht="52.5" customHeight="1">
      <c r="A25" s="69"/>
      <c r="B25" s="722" t="s">
        <v>53</v>
      </c>
      <c r="C25" s="69"/>
      <c r="D25" s="330">
        <v>7.083333333333333</v>
      </c>
      <c r="E25" s="69"/>
      <c r="F25" s="330">
        <v>7.916666666666667</v>
      </c>
      <c r="G25" s="69"/>
      <c r="H25" s="1058">
        <v>8.0</v>
      </c>
      <c r="I25" s="69"/>
      <c r="J25" s="330">
        <v>7.67</v>
      </c>
      <c r="K25" s="69"/>
      <c r="L25" s="330">
        <v>8.46</v>
      </c>
      <c r="M25" s="69"/>
      <c r="N25" s="330">
        <v>8.79</v>
      </c>
      <c r="O25" s="69"/>
      <c r="P25" s="330">
        <v>8.45</v>
      </c>
      <c r="Q25" s="69"/>
      <c r="R25" s="330">
        <v>8.0</v>
      </c>
      <c r="S25" s="69"/>
      <c r="T25" s="330">
        <v>7.9</v>
      </c>
      <c r="U25" s="69"/>
      <c r="V25" s="330">
        <v>7.75</v>
      </c>
      <c r="W25" s="69"/>
      <c r="X25" s="330">
        <v>8.8</v>
      </c>
      <c r="Y25" s="69"/>
      <c r="Z25" s="330">
        <v>8.56</v>
      </c>
      <c r="AA25" s="69"/>
      <c r="AB25" s="1061">
        <v>8.461538461538462</v>
      </c>
      <c r="AC25" s="69"/>
      <c r="AD25" s="1061">
        <v>8.538461538461538</v>
      </c>
      <c r="AE25" s="69"/>
      <c r="AF25" s="1061">
        <v>8.461538461538462</v>
      </c>
      <c r="AG25" s="69"/>
      <c r="AH25" s="1061">
        <v>8.357142857142858</v>
      </c>
      <c r="AI25" s="69"/>
      <c r="AJ25" s="1062">
        <v>7.666666666666667</v>
      </c>
      <c r="AK25" s="69"/>
      <c r="AL25" s="1061">
        <v>8.142857142857142</v>
      </c>
      <c r="AM25" s="69"/>
      <c r="AN25" s="1061">
        <v>8.272727272727273</v>
      </c>
      <c r="AO25" s="69"/>
      <c r="AP25" s="1061">
        <v>8.647058823529411</v>
      </c>
      <c r="AQ25" s="69"/>
      <c r="AR25" s="1061">
        <v>8.727272727272727</v>
      </c>
      <c r="AS25" s="69"/>
      <c r="AT25" s="330">
        <v>8.55</v>
      </c>
      <c r="AU25" s="69"/>
      <c r="AV25" s="330">
        <v>7.91</v>
      </c>
      <c r="AW25" s="69"/>
      <c r="AX25" s="326">
        <v>8.82</v>
      </c>
      <c r="AY25" s="328"/>
      <c r="AZ25" s="328"/>
    </row>
    <row r="26" ht="52.5" customHeight="1">
      <c r="A26" s="725" t="s">
        <v>54</v>
      </c>
      <c r="B26" s="726" t="s">
        <v>183</v>
      </c>
      <c r="C26" s="1056">
        <f>AVERAGE(D26:D31)</f>
        <v>7.336042098</v>
      </c>
      <c r="D26" s="330">
        <v>7.0476190476190474</v>
      </c>
      <c r="E26" s="1056">
        <f>AVERAGE(F26:F31)</f>
        <v>7.862769779</v>
      </c>
      <c r="F26" s="330">
        <v>7.2272727272727275</v>
      </c>
      <c r="G26" s="1056">
        <f>AVERAGE(H26:H31)</f>
        <v>7.43</v>
      </c>
      <c r="H26" s="1058">
        <v>7.35</v>
      </c>
      <c r="I26" s="1056">
        <f>AVERAGE(J26:J31)</f>
        <v>7.278333333</v>
      </c>
      <c r="J26" s="330">
        <v>8.0</v>
      </c>
      <c r="K26" s="1056">
        <f>AVERAGE(L26:L31)</f>
        <v>7.573333333</v>
      </c>
      <c r="L26" s="330">
        <v>7.67</v>
      </c>
      <c r="M26" s="1056">
        <f>AVERAGE(N26:N31)</f>
        <v>7.831666667</v>
      </c>
      <c r="N26" s="330">
        <v>8.08</v>
      </c>
      <c r="O26" s="1056">
        <f>AVERAGE(P26:P31)</f>
        <v>8.19</v>
      </c>
      <c r="P26" s="330">
        <v>8.6</v>
      </c>
      <c r="Q26" s="1056">
        <f>AVERAGE(R26:R31)</f>
        <v>7.316666667</v>
      </c>
      <c r="R26" s="330">
        <v>7.83</v>
      </c>
      <c r="S26" s="1056">
        <f>AVERAGE(T26:T31)</f>
        <v>7.095</v>
      </c>
      <c r="T26" s="330">
        <v>6.75</v>
      </c>
      <c r="U26" s="1056">
        <f>AVERAGE(V26:V31)</f>
        <v>7.3</v>
      </c>
      <c r="V26" s="330">
        <v>7.2</v>
      </c>
      <c r="W26" s="1056">
        <f>AVERAGE(X26:X31)</f>
        <v>7.735</v>
      </c>
      <c r="X26" s="330">
        <v>8.13</v>
      </c>
      <c r="Y26" s="1056">
        <f>AVERAGE(Z26:Z31)</f>
        <v>8.015</v>
      </c>
      <c r="Z26" s="330">
        <v>8.33</v>
      </c>
      <c r="AA26" s="1056">
        <f>AVERAGE(AB26:AB31)</f>
        <v>8.091117216</v>
      </c>
      <c r="AB26" s="1061">
        <v>8.25</v>
      </c>
      <c r="AC26" s="1056">
        <f>AVERAGE(AD26:AD31)</f>
        <v>7.759226884</v>
      </c>
      <c r="AD26" s="1061">
        <v>7.916666666666667</v>
      </c>
      <c r="AE26" s="1056">
        <f>AVERAGE(AF26:AF31)</f>
        <v>7.751068376</v>
      </c>
      <c r="AF26" s="1061">
        <v>8.0</v>
      </c>
      <c r="AG26" s="1056">
        <f>AVERAGE(AH26:AH31)</f>
        <v>7.877014652</v>
      </c>
      <c r="AH26" s="1061">
        <v>7.769230769230769</v>
      </c>
      <c r="AI26" s="1056">
        <f>AVERAGE(AJ26:AJ31)</f>
        <v>8.446296296</v>
      </c>
      <c r="AJ26" s="1062">
        <v>8.777777777777779</v>
      </c>
      <c r="AK26" s="1056">
        <f>AVERAGE(AL26:AL31)</f>
        <v>7.644322344</v>
      </c>
      <c r="AL26" s="1061">
        <v>7.428571428571429</v>
      </c>
      <c r="AM26" s="1056">
        <f>AVERAGE(AN26:AN31)</f>
        <v>7.819949495</v>
      </c>
      <c r="AN26" s="1061">
        <v>7.7</v>
      </c>
      <c r="AO26" s="1056">
        <f>AVERAGE(AP26:AP31)</f>
        <v>7.537377451</v>
      </c>
      <c r="AP26" s="1061">
        <v>7.411764705882353</v>
      </c>
      <c r="AQ26" s="1056">
        <f>AVERAGE(AR26:AR31)</f>
        <v>7.683080808</v>
      </c>
      <c r="AR26" s="1061">
        <v>7.636363636363637</v>
      </c>
      <c r="AS26" s="1056">
        <f>AVERAGE(AT26:AT31)</f>
        <v>8.066666667</v>
      </c>
      <c r="AT26" s="330">
        <v>8.0</v>
      </c>
      <c r="AU26" s="1056">
        <f>AVERAGE(AV26:AV31)</f>
        <v>7.481666667</v>
      </c>
      <c r="AV26" s="330">
        <v>7.7</v>
      </c>
      <c r="AW26" s="1056">
        <f>AVERAGE(AX26:AX31)</f>
        <v>7.528333333</v>
      </c>
      <c r="AX26" s="326">
        <v>7.45</v>
      </c>
      <c r="AY26" s="328"/>
      <c r="AZ26" s="328"/>
    </row>
    <row r="27" ht="52.5" customHeight="1">
      <c r="A27" s="61"/>
      <c r="B27" s="726" t="s">
        <v>184</v>
      </c>
      <c r="C27" s="61"/>
      <c r="D27" s="330">
        <v>7.833333333333333</v>
      </c>
      <c r="E27" s="61"/>
      <c r="F27" s="330">
        <v>8.476190476190476</v>
      </c>
      <c r="G27" s="61"/>
      <c r="H27" s="1058">
        <v>7.19</v>
      </c>
      <c r="I27" s="61"/>
      <c r="J27" s="330">
        <v>7.63</v>
      </c>
      <c r="K27" s="61"/>
      <c r="L27" s="330">
        <v>8.0</v>
      </c>
      <c r="M27" s="61"/>
      <c r="N27" s="330">
        <v>8.07</v>
      </c>
      <c r="O27" s="61"/>
      <c r="P27" s="330">
        <v>8.73</v>
      </c>
      <c r="Q27" s="61"/>
      <c r="R27" s="330">
        <v>7.5</v>
      </c>
      <c r="S27" s="61"/>
      <c r="T27" s="330">
        <v>6.7</v>
      </c>
      <c r="U27" s="61"/>
      <c r="V27" s="330">
        <v>7.33</v>
      </c>
      <c r="W27" s="61"/>
      <c r="X27" s="330">
        <v>7.71</v>
      </c>
      <c r="Y27" s="61"/>
      <c r="Z27" s="330">
        <v>8.38</v>
      </c>
      <c r="AA27" s="61"/>
      <c r="AB27" s="1061">
        <v>8.0</v>
      </c>
      <c r="AC27" s="61"/>
      <c r="AD27" s="1061">
        <v>7.846153846153846</v>
      </c>
      <c r="AE27" s="61"/>
      <c r="AF27" s="1061">
        <v>8.0</v>
      </c>
      <c r="AG27" s="61"/>
      <c r="AH27" s="1061">
        <v>8.0</v>
      </c>
      <c r="AI27" s="61"/>
      <c r="AJ27" s="1062">
        <v>8.6</v>
      </c>
      <c r="AK27" s="61"/>
      <c r="AL27" s="1061">
        <v>7.866666666666666</v>
      </c>
      <c r="AM27" s="61"/>
      <c r="AN27" s="1061">
        <v>7.833333333333333</v>
      </c>
      <c r="AO27" s="61"/>
      <c r="AP27" s="1061">
        <v>7.764705882352941</v>
      </c>
      <c r="AQ27" s="61"/>
      <c r="AR27" s="1061">
        <v>7.333333333333333</v>
      </c>
      <c r="AS27" s="61"/>
      <c r="AT27" s="330">
        <v>8.4</v>
      </c>
      <c r="AU27" s="61"/>
      <c r="AV27" s="330">
        <v>7.55</v>
      </c>
      <c r="AW27" s="61"/>
      <c r="AX27" s="326">
        <v>7.18</v>
      </c>
      <c r="AY27" s="328"/>
      <c r="AZ27" s="328"/>
    </row>
    <row r="28" ht="52.5" customHeight="1">
      <c r="A28" s="61"/>
      <c r="B28" s="726" t="s">
        <v>185</v>
      </c>
      <c r="C28" s="61"/>
      <c r="D28" s="330">
        <v>7.380952380952381</v>
      </c>
      <c r="E28" s="61"/>
      <c r="F28" s="330">
        <v>8.590909090909092</v>
      </c>
      <c r="G28" s="61"/>
      <c r="H28" s="1058">
        <v>7.47</v>
      </c>
      <c r="I28" s="61"/>
      <c r="J28" s="330">
        <v>7.38</v>
      </c>
      <c r="K28" s="61"/>
      <c r="L28" s="330">
        <v>7.54</v>
      </c>
      <c r="M28" s="61"/>
      <c r="N28" s="330">
        <v>7.92</v>
      </c>
      <c r="O28" s="61"/>
      <c r="P28" s="330">
        <v>8.27</v>
      </c>
      <c r="Q28" s="61"/>
      <c r="R28" s="330">
        <v>7.0</v>
      </c>
      <c r="S28" s="61"/>
      <c r="T28" s="330">
        <v>7.0</v>
      </c>
      <c r="U28" s="61"/>
      <c r="V28" s="330">
        <v>7.0</v>
      </c>
      <c r="W28" s="61"/>
      <c r="X28" s="330">
        <v>7.43</v>
      </c>
      <c r="Y28" s="61"/>
      <c r="Z28" s="330">
        <v>8.13</v>
      </c>
      <c r="AA28" s="61"/>
      <c r="AB28" s="1061">
        <v>7.769230769230769</v>
      </c>
      <c r="AC28" s="61"/>
      <c r="AD28" s="1061">
        <v>7.666666666666667</v>
      </c>
      <c r="AE28" s="61"/>
      <c r="AF28" s="1061">
        <v>7.6923076923076925</v>
      </c>
      <c r="AG28" s="61"/>
      <c r="AH28" s="1061">
        <v>7.642857142857143</v>
      </c>
      <c r="AI28" s="61"/>
      <c r="AJ28" s="1062">
        <v>8.6</v>
      </c>
      <c r="AK28" s="61"/>
      <c r="AL28" s="1061">
        <v>7.571428571428571</v>
      </c>
      <c r="AM28" s="61"/>
      <c r="AN28" s="1061">
        <v>7.636363636363637</v>
      </c>
      <c r="AO28" s="61"/>
      <c r="AP28" s="1061">
        <v>7.764705882352941</v>
      </c>
      <c r="AQ28" s="61"/>
      <c r="AR28" s="1061">
        <v>7.545454545454546</v>
      </c>
      <c r="AS28" s="61"/>
      <c r="AT28" s="330">
        <v>8.0</v>
      </c>
      <c r="AU28" s="61"/>
      <c r="AV28" s="330">
        <v>7.27</v>
      </c>
      <c r="AW28" s="61"/>
      <c r="AX28" s="326">
        <v>7.27</v>
      </c>
      <c r="AY28" s="328"/>
      <c r="AZ28" s="328"/>
    </row>
    <row r="29" ht="52.5" customHeight="1">
      <c r="A29" s="61"/>
      <c r="B29" s="726" t="s">
        <v>57</v>
      </c>
      <c r="C29" s="61"/>
      <c r="D29" s="330">
        <v>6.869565217391305</v>
      </c>
      <c r="E29" s="61"/>
      <c r="F29" s="330">
        <v>7.304347826086956</v>
      </c>
      <c r="G29" s="61"/>
      <c r="H29" s="1058">
        <v>7.69</v>
      </c>
      <c r="I29" s="61"/>
      <c r="J29" s="330">
        <v>7.0</v>
      </c>
      <c r="K29" s="61"/>
      <c r="L29" s="330">
        <v>7.58</v>
      </c>
      <c r="M29" s="61"/>
      <c r="N29" s="330">
        <v>8.0</v>
      </c>
      <c r="O29" s="61"/>
      <c r="P29" s="330">
        <v>8.18</v>
      </c>
      <c r="Q29" s="61"/>
      <c r="R29" s="330">
        <v>7.71</v>
      </c>
      <c r="S29" s="61"/>
      <c r="T29" s="330">
        <v>7.9</v>
      </c>
      <c r="U29" s="61"/>
      <c r="V29" s="330">
        <v>7.67</v>
      </c>
      <c r="W29" s="61"/>
      <c r="X29" s="330">
        <v>7.27</v>
      </c>
      <c r="Y29" s="61"/>
      <c r="Z29" s="330">
        <v>8.06</v>
      </c>
      <c r="AA29" s="61"/>
      <c r="AB29" s="1061">
        <v>8.571428571428571</v>
      </c>
      <c r="AC29" s="61"/>
      <c r="AD29" s="1061">
        <v>8.307692307692308</v>
      </c>
      <c r="AE29" s="61"/>
      <c r="AF29" s="1061">
        <v>8.076923076923077</v>
      </c>
      <c r="AG29" s="61"/>
      <c r="AH29" s="1061">
        <v>8.25</v>
      </c>
      <c r="AI29" s="61"/>
      <c r="AJ29" s="1062">
        <v>7.636363636363637</v>
      </c>
      <c r="AK29" s="61"/>
      <c r="AL29" s="1061">
        <v>7.933333333333334</v>
      </c>
      <c r="AM29" s="61"/>
      <c r="AN29" s="1061">
        <v>8.083333333333334</v>
      </c>
      <c r="AO29" s="61"/>
      <c r="AP29" s="1061">
        <v>7.470588235294118</v>
      </c>
      <c r="AQ29" s="61"/>
      <c r="AR29" s="1061">
        <v>8.25</v>
      </c>
      <c r="AS29" s="61"/>
      <c r="AT29" s="326">
        <v>8.09</v>
      </c>
      <c r="AU29" s="61"/>
      <c r="AV29" s="330">
        <v>7.64</v>
      </c>
      <c r="AW29" s="61"/>
      <c r="AX29" s="326">
        <v>8.18</v>
      </c>
      <c r="AY29" s="328"/>
      <c r="AZ29" s="328"/>
    </row>
    <row r="30" ht="52.5" customHeight="1">
      <c r="A30" s="61"/>
      <c r="B30" s="726" t="s">
        <v>58</v>
      </c>
      <c r="C30" s="61"/>
      <c r="D30" s="330">
        <v>7.45</v>
      </c>
      <c r="E30" s="61"/>
      <c r="F30" s="330">
        <v>7.869565217391305</v>
      </c>
      <c r="G30" s="61"/>
      <c r="H30" s="330">
        <v>7.06</v>
      </c>
      <c r="I30" s="61"/>
      <c r="J30" s="330">
        <v>5.83</v>
      </c>
      <c r="K30" s="61"/>
      <c r="L30" s="330">
        <v>6.5</v>
      </c>
      <c r="M30" s="61"/>
      <c r="N30" s="330">
        <v>6.92</v>
      </c>
      <c r="O30" s="61"/>
      <c r="P30" s="330">
        <v>7.27</v>
      </c>
      <c r="Q30" s="61"/>
      <c r="R30" s="330">
        <v>6.29</v>
      </c>
      <c r="S30" s="61"/>
      <c r="T30" s="330">
        <v>6.33</v>
      </c>
      <c r="U30" s="61"/>
      <c r="V30" s="330">
        <v>6.4</v>
      </c>
      <c r="W30" s="61"/>
      <c r="X30" s="330">
        <v>7.8</v>
      </c>
      <c r="Y30" s="61"/>
      <c r="Z30" s="330">
        <v>6.94</v>
      </c>
      <c r="AA30" s="61"/>
      <c r="AB30" s="1061">
        <v>7.384615384615385</v>
      </c>
      <c r="AC30" s="61"/>
      <c r="AD30" s="1061">
        <v>6.636363636363637</v>
      </c>
      <c r="AE30" s="61"/>
      <c r="AF30" s="1061">
        <v>6.583333333333333</v>
      </c>
      <c r="AG30" s="61"/>
      <c r="AH30" s="1061">
        <v>7.133333333333334</v>
      </c>
      <c r="AI30" s="61"/>
      <c r="AJ30" s="1062">
        <v>8.7</v>
      </c>
      <c r="AK30" s="61"/>
      <c r="AL30" s="1061">
        <v>6.923076923076923</v>
      </c>
      <c r="AM30" s="61"/>
      <c r="AN30" s="1061">
        <v>7.166666666666667</v>
      </c>
      <c r="AO30" s="61"/>
      <c r="AP30" s="1061">
        <v>6.8125</v>
      </c>
      <c r="AQ30" s="61"/>
      <c r="AR30" s="1061">
        <v>7.0</v>
      </c>
      <c r="AS30" s="61"/>
      <c r="AT30" s="330">
        <v>7.64</v>
      </c>
      <c r="AU30" s="61"/>
      <c r="AV30" s="330">
        <v>7.0</v>
      </c>
      <c r="AW30" s="61"/>
      <c r="AX30" s="326">
        <v>6.91</v>
      </c>
      <c r="AY30" s="328"/>
      <c r="AZ30" s="328"/>
    </row>
    <row r="31" ht="52.5" customHeight="1">
      <c r="A31" s="69"/>
      <c r="B31" s="726" t="s">
        <v>59</v>
      </c>
      <c r="C31" s="69"/>
      <c r="D31" s="330">
        <v>7.434782608695652</v>
      </c>
      <c r="E31" s="69"/>
      <c r="F31" s="330">
        <v>7.708333333333333</v>
      </c>
      <c r="G31" s="69"/>
      <c r="H31" s="1058">
        <v>7.82</v>
      </c>
      <c r="I31" s="69"/>
      <c r="J31" s="330">
        <v>7.83</v>
      </c>
      <c r="K31" s="69"/>
      <c r="L31" s="330">
        <v>8.15</v>
      </c>
      <c r="M31" s="69"/>
      <c r="N31" s="330">
        <v>8.0</v>
      </c>
      <c r="O31" s="69"/>
      <c r="P31" s="330">
        <v>8.09</v>
      </c>
      <c r="Q31" s="69"/>
      <c r="R31" s="330">
        <v>7.57</v>
      </c>
      <c r="S31" s="69"/>
      <c r="T31" s="330">
        <v>7.89</v>
      </c>
      <c r="U31" s="69"/>
      <c r="V31" s="330">
        <v>8.2</v>
      </c>
      <c r="W31" s="69"/>
      <c r="X31" s="330">
        <v>8.07</v>
      </c>
      <c r="Y31" s="69"/>
      <c r="Z31" s="330">
        <v>8.25</v>
      </c>
      <c r="AA31" s="69"/>
      <c r="AB31" s="1061">
        <v>8.571428571428571</v>
      </c>
      <c r="AC31" s="69"/>
      <c r="AD31" s="1061">
        <v>8.181818181818182</v>
      </c>
      <c r="AE31" s="69"/>
      <c r="AF31" s="1061">
        <v>8.153846153846153</v>
      </c>
      <c r="AG31" s="69"/>
      <c r="AH31" s="1061">
        <v>8.466666666666667</v>
      </c>
      <c r="AI31" s="69"/>
      <c r="AJ31" s="1062">
        <v>8.363636363636363</v>
      </c>
      <c r="AK31" s="69"/>
      <c r="AL31" s="1061">
        <v>8.142857142857142</v>
      </c>
      <c r="AM31" s="69"/>
      <c r="AN31" s="1061">
        <v>8.5</v>
      </c>
      <c r="AO31" s="69"/>
      <c r="AP31" s="1061">
        <v>8.0</v>
      </c>
      <c r="AQ31" s="69"/>
      <c r="AR31" s="1061">
        <v>8.333333333333334</v>
      </c>
      <c r="AS31" s="69"/>
      <c r="AT31" s="330">
        <v>8.27</v>
      </c>
      <c r="AU31" s="69"/>
      <c r="AV31" s="330">
        <v>7.73</v>
      </c>
      <c r="AW31" s="69"/>
      <c r="AX31" s="326">
        <v>8.18</v>
      </c>
      <c r="AY31" s="328"/>
      <c r="AZ31" s="328"/>
    </row>
    <row r="32" ht="52.5" customHeight="1">
      <c r="A32" s="728" t="s">
        <v>60</v>
      </c>
      <c r="B32" s="729" t="s">
        <v>61</v>
      </c>
      <c r="C32" s="1056">
        <f>AVERAGE(D32:D34)</f>
        <v>7.882309942</v>
      </c>
      <c r="D32" s="330">
        <v>8.166666666666666</v>
      </c>
      <c r="E32" s="1056">
        <f>AVERAGE(F32:F34)</f>
        <v>8.012626263</v>
      </c>
      <c r="F32" s="330">
        <v>8.125</v>
      </c>
      <c r="G32" s="1056">
        <f>AVERAGE(H32:H36)</f>
        <v>7.434</v>
      </c>
      <c r="H32" s="1058">
        <v>6.93</v>
      </c>
      <c r="I32" s="1056">
        <f>AVERAGE(J32:J34)</f>
        <v>7.223333333</v>
      </c>
      <c r="J32" s="330">
        <v>6.89</v>
      </c>
      <c r="K32" s="1056">
        <f>AVERAGE(L32:L34)</f>
        <v>7.77</v>
      </c>
      <c r="L32" s="330">
        <v>7.58</v>
      </c>
      <c r="M32" s="1056">
        <f>AVERAGE(N32:N34)</f>
        <v>8.276666667</v>
      </c>
      <c r="N32" s="330">
        <v>8.08</v>
      </c>
      <c r="O32" s="1056">
        <f>AVERAGE(P32:P34)</f>
        <v>8.28</v>
      </c>
      <c r="P32" s="330">
        <v>8.2</v>
      </c>
      <c r="Q32" s="1056">
        <f>AVERAGE(R32:R34)</f>
        <v>7.083333333</v>
      </c>
      <c r="R32" s="330">
        <v>7.0</v>
      </c>
      <c r="S32" s="1056">
        <f>AVERAGE(T32:T34)</f>
        <v>6.853333333</v>
      </c>
      <c r="T32" s="330">
        <v>6.89</v>
      </c>
      <c r="U32" s="1056">
        <f>AVERAGE(V32:V34)</f>
        <v>7.49</v>
      </c>
      <c r="V32" s="330">
        <v>6.92</v>
      </c>
      <c r="W32" s="1056">
        <f>AVERAGE(X32:X36)</f>
        <v>7.926</v>
      </c>
      <c r="X32" s="330">
        <v>7.43</v>
      </c>
      <c r="Y32" s="1056">
        <f>AVERAGE(Z32:Z36)</f>
        <v>8.588</v>
      </c>
      <c r="Z32" s="330">
        <v>8.75</v>
      </c>
      <c r="AA32" s="1056">
        <f>AVERAGE(AB32:AB36)</f>
        <v>8.124871795</v>
      </c>
      <c r="AB32" s="1061">
        <v>7.538461538461538</v>
      </c>
      <c r="AC32" s="1056">
        <f>AVERAGE(AD32:AD36)</f>
        <v>7.671794872</v>
      </c>
      <c r="AD32" s="1061">
        <v>7.5</v>
      </c>
      <c r="AE32" s="1056">
        <f>AVERAGE(AF32:AF36)</f>
        <v>7.630769231</v>
      </c>
      <c r="AF32" s="1061">
        <v>7.076923076923077</v>
      </c>
      <c r="AG32" s="1056">
        <f>AVERAGE(AH32:AH36)</f>
        <v>7.786233766</v>
      </c>
      <c r="AH32" s="1061">
        <v>7.333333333333333</v>
      </c>
      <c r="AI32" s="1056">
        <f>AVERAGE(AJ32:AJ36)</f>
        <v>8.360606061</v>
      </c>
      <c r="AJ32" s="1062">
        <v>8.454545454545455</v>
      </c>
      <c r="AK32" s="1056">
        <f>AVERAGE(AL32:AL36)</f>
        <v>7.657542458</v>
      </c>
      <c r="AL32" s="1061">
        <v>7.285714285714286</v>
      </c>
      <c r="AM32" s="1056">
        <f>AVERAGE(AN32:AN36)</f>
        <v>7.561111111</v>
      </c>
      <c r="AN32" s="1061">
        <v>7.083333333333333</v>
      </c>
      <c r="AO32" s="1056">
        <f>AVERAGE(AP32:AP36)</f>
        <v>7.897478992</v>
      </c>
      <c r="AP32" s="1061">
        <v>7.9411764705882355</v>
      </c>
      <c r="AQ32" s="1056">
        <f>AVERAGE(AR32:AR36)</f>
        <v>7.687878788</v>
      </c>
      <c r="AR32" s="1061">
        <v>6.833333333333333</v>
      </c>
      <c r="AS32" s="1056">
        <f>AVERAGE(AT32:AT34)</f>
        <v>8.16</v>
      </c>
      <c r="AT32" s="330">
        <v>8.3</v>
      </c>
      <c r="AU32" s="1056">
        <f>AVERAGE(AV32:AV34)</f>
        <v>7.513333333</v>
      </c>
      <c r="AV32" s="330">
        <v>7.3</v>
      </c>
      <c r="AW32" s="1056">
        <f>AVERAGE(AX32:AX34)</f>
        <v>7.696666667</v>
      </c>
      <c r="AX32" s="326">
        <v>7.4</v>
      </c>
      <c r="AY32" s="328"/>
      <c r="AZ32" s="328"/>
    </row>
    <row r="33" ht="52.5" customHeight="1">
      <c r="A33" s="61"/>
      <c r="B33" s="729" t="s">
        <v>62</v>
      </c>
      <c r="C33" s="61"/>
      <c r="D33" s="330">
        <v>8.105263157894736</v>
      </c>
      <c r="E33" s="61"/>
      <c r="F33" s="330">
        <v>8.454545454545455</v>
      </c>
      <c r="G33" s="61"/>
      <c r="H33" s="1058">
        <v>7.57</v>
      </c>
      <c r="I33" s="61"/>
      <c r="J33" s="330">
        <v>7.38</v>
      </c>
      <c r="K33" s="61"/>
      <c r="L33" s="330">
        <v>8.0</v>
      </c>
      <c r="M33" s="61"/>
      <c r="N33" s="330">
        <v>8.85</v>
      </c>
      <c r="O33" s="61"/>
      <c r="P33" s="330">
        <v>8.64</v>
      </c>
      <c r="Q33" s="61"/>
      <c r="R33" s="330">
        <v>7.25</v>
      </c>
      <c r="S33" s="61"/>
      <c r="T33" s="330">
        <v>7.1</v>
      </c>
      <c r="U33" s="61"/>
      <c r="V33" s="330">
        <v>7.55</v>
      </c>
      <c r="W33" s="61"/>
      <c r="X33" s="330">
        <v>7.79</v>
      </c>
      <c r="Y33" s="61"/>
      <c r="Z33" s="330">
        <v>8.87</v>
      </c>
      <c r="AA33" s="61"/>
      <c r="AB33" s="1061">
        <v>8.416666666666666</v>
      </c>
      <c r="AC33" s="61"/>
      <c r="AD33" s="1061">
        <v>8.23076923076923</v>
      </c>
      <c r="AE33" s="61"/>
      <c r="AF33" s="1061">
        <v>8.153846153846153</v>
      </c>
      <c r="AG33" s="61"/>
      <c r="AH33" s="1061">
        <v>8.285714285714286</v>
      </c>
      <c r="AI33" s="61"/>
      <c r="AJ33" s="1062">
        <v>8.666666666666666</v>
      </c>
      <c r="AK33" s="61"/>
      <c r="AL33" s="1061">
        <v>8.071428571428571</v>
      </c>
      <c r="AM33" s="61"/>
      <c r="AN33" s="1061">
        <v>8.0</v>
      </c>
      <c r="AO33" s="61"/>
      <c r="AP33" s="1061">
        <v>8.176470588235293</v>
      </c>
      <c r="AQ33" s="61"/>
      <c r="AR33" s="1061">
        <v>7.636363636363637</v>
      </c>
      <c r="AS33" s="61"/>
      <c r="AT33" s="330">
        <v>8.0</v>
      </c>
      <c r="AU33" s="61"/>
      <c r="AV33" s="330">
        <v>7.64</v>
      </c>
      <c r="AW33" s="61"/>
      <c r="AX33" s="326">
        <v>7.91</v>
      </c>
      <c r="AY33" s="328"/>
      <c r="AZ33" s="328"/>
    </row>
    <row r="34" ht="52.5" customHeight="1">
      <c r="A34" s="61"/>
      <c r="B34" s="729" t="s">
        <v>63</v>
      </c>
      <c r="C34" s="61"/>
      <c r="D34" s="330">
        <v>7.375</v>
      </c>
      <c r="E34" s="61"/>
      <c r="F34" s="330">
        <v>7.458333333333333</v>
      </c>
      <c r="G34" s="61"/>
      <c r="H34" s="1058">
        <v>7.29</v>
      </c>
      <c r="I34" s="61"/>
      <c r="J34" s="330">
        <v>7.4</v>
      </c>
      <c r="K34" s="61"/>
      <c r="L34" s="330">
        <v>7.73</v>
      </c>
      <c r="M34" s="61"/>
      <c r="N34" s="330">
        <v>7.9</v>
      </c>
      <c r="O34" s="61"/>
      <c r="P34" s="330">
        <v>8.0</v>
      </c>
      <c r="Q34" s="61"/>
      <c r="R34" s="330">
        <v>7.0</v>
      </c>
      <c r="S34" s="61"/>
      <c r="T34" s="330">
        <v>6.57</v>
      </c>
      <c r="U34" s="61"/>
      <c r="V34" s="330">
        <v>8.0</v>
      </c>
      <c r="W34" s="61"/>
      <c r="X34" s="330">
        <v>8.07</v>
      </c>
      <c r="Y34" s="61"/>
      <c r="Z34" s="330">
        <v>8.31</v>
      </c>
      <c r="AA34" s="61"/>
      <c r="AB34" s="1061">
        <v>7.9</v>
      </c>
      <c r="AC34" s="61"/>
      <c r="AD34" s="1061">
        <v>7.166666666666667</v>
      </c>
      <c r="AE34" s="61"/>
      <c r="AF34" s="1061">
        <v>8.0</v>
      </c>
      <c r="AG34" s="61"/>
      <c r="AH34" s="1061">
        <v>7.545454545454546</v>
      </c>
      <c r="AI34" s="61"/>
      <c r="AJ34" s="1062">
        <v>8.4</v>
      </c>
      <c r="AK34" s="61"/>
      <c r="AL34" s="1061">
        <v>7.7272727272727275</v>
      </c>
      <c r="AM34" s="61"/>
      <c r="AN34" s="1061">
        <v>7.555555555555555</v>
      </c>
      <c r="AO34" s="61"/>
      <c r="AP34" s="1061">
        <v>7.428571428571429</v>
      </c>
      <c r="AQ34" s="61"/>
      <c r="AR34" s="1061">
        <v>7.75</v>
      </c>
      <c r="AS34" s="61"/>
      <c r="AT34" s="330">
        <v>8.18</v>
      </c>
      <c r="AU34" s="61"/>
      <c r="AV34" s="330">
        <v>7.6</v>
      </c>
      <c r="AW34" s="61"/>
      <c r="AX34" s="326">
        <v>7.78</v>
      </c>
      <c r="AY34" s="328"/>
      <c r="AZ34" s="328"/>
    </row>
    <row r="35" ht="52.5" customHeight="1">
      <c r="A35" s="61"/>
      <c r="B35" s="729" t="s">
        <v>64</v>
      </c>
      <c r="C35" s="61"/>
      <c r="D35" s="330">
        <v>7.5</v>
      </c>
      <c r="E35" s="61"/>
      <c r="F35" s="330">
        <v>7.583333333333333</v>
      </c>
      <c r="G35" s="61"/>
      <c r="H35" s="1058">
        <v>7.94</v>
      </c>
      <c r="I35" s="61"/>
      <c r="J35" s="330">
        <v>7.5</v>
      </c>
      <c r="K35" s="61"/>
      <c r="L35" s="330">
        <v>8.31</v>
      </c>
      <c r="M35" s="61"/>
      <c r="N35" s="330">
        <v>8.31</v>
      </c>
      <c r="O35" s="61"/>
      <c r="P35" s="330">
        <v>8.27</v>
      </c>
      <c r="Q35" s="61"/>
      <c r="R35" s="330">
        <v>7.56</v>
      </c>
      <c r="S35" s="61"/>
      <c r="T35" s="330">
        <v>7.6</v>
      </c>
      <c r="U35" s="61"/>
      <c r="V35" s="330">
        <v>7.64</v>
      </c>
      <c r="W35" s="61"/>
      <c r="X35" s="330">
        <v>8.07</v>
      </c>
      <c r="Y35" s="61"/>
      <c r="Z35" s="330">
        <v>8.38</v>
      </c>
      <c r="AA35" s="61"/>
      <c r="AB35" s="1061">
        <v>8.76923076923077</v>
      </c>
      <c r="AC35" s="61"/>
      <c r="AD35" s="1061">
        <v>8.0</v>
      </c>
      <c r="AE35" s="61"/>
      <c r="AF35" s="1061">
        <v>8.076923076923077</v>
      </c>
      <c r="AG35" s="61"/>
      <c r="AH35" s="1061">
        <v>8.266666666666667</v>
      </c>
      <c r="AI35" s="61"/>
      <c r="AJ35" s="1062">
        <v>8.1</v>
      </c>
      <c r="AK35" s="61"/>
      <c r="AL35" s="1061">
        <v>7.846153846153846</v>
      </c>
      <c r="AM35" s="61"/>
      <c r="AN35" s="1061">
        <v>8.166666666666666</v>
      </c>
      <c r="AO35" s="61"/>
      <c r="AP35" s="1061">
        <v>7.9411764705882355</v>
      </c>
      <c r="AQ35" s="61"/>
      <c r="AR35" s="1061">
        <v>8.583333333333334</v>
      </c>
      <c r="AS35" s="61"/>
      <c r="AT35" s="330">
        <v>8.36</v>
      </c>
      <c r="AU35" s="61"/>
      <c r="AV35" s="330">
        <v>8.0</v>
      </c>
      <c r="AW35" s="61"/>
      <c r="AX35" s="326">
        <v>8.45</v>
      </c>
      <c r="AY35" s="328"/>
      <c r="AZ35" s="328"/>
    </row>
    <row r="36" ht="52.5" customHeight="1">
      <c r="A36" s="69"/>
      <c r="B36" s="731" t="s">
        <v>65</v>
      </c>
      <c r="C36" s="69"/>
      <c r="D36" s="330">
        <v>8.958333333333334</v>
      </c>
      <c r="E36" s="69"/>
      <c r="F36" s="330">
        <v>8.875</v>
      </c>
      <c r="G36" s="69"/>
      <c r="H36" s="1058">
        <v>7.44</v>
      </c>
      <c r="I36" s="69"/>
      <c r="J36" s="330">
        <v>7.33</v>
      </c>
      <c r="K36" s="69"/>
      <c r="L36" s="330">
        <v>7.92</v>
      </c>
      <c r="M36" s="69"/>
      <c r="N36" s="330">
        <v>8.08</v>
      </c>
      <c r="O36" s="69"/>
      <c r="P36" s="330">
        <v>8.0</v>
      </c>
      <c r="Q36" s="69"/>
      <c r="R36" s="330">
        <v>6.89</v>
      </c>
      <c r="S36" s="69"/>
      <c r="T36" s="330">
        <v>7.0</v>
      </c>
      <c r="U36" s="69"/>
      <c r="V36" s="330">
        <v>6.92</v>
      </c>
      <c r="W36" s="69"/>
      <c r="X36" s="330">
        <v>8.27</v>
      </c>
      <c r="Y36" s="69"/>
      <c r="Z36" s="330">
        <v>8.63</v>
      </c>
      <c r="AA36" s="69"/>
      <c r="AB36" s="1061">
        <v>8.0</v>
      </c>
      <c r="AC36" s="69"/>
      <c r="AD36" s="1061">
        <v>7.461538461538462</v>
      </c>
      <c r="AE36" s="69"/>
      <c r="AF36" s="1061">
        <v>6.846153846153846</v>
      </c>
      <c r="AG36" s="69"/>
      <c r="AH36" s="1061">
        <v>7.5</v>
      </c>
      <c r="AI36" s="69"/>
      <c r="AJ36" s="1062">
        <v>8.181818181818182</v>
      </c>
      <c r="AK36" s="69"/>
      <c r="AL36" s="1061">
        <v>7.357142857142857</v>
      </c>
      <c r="AM36" s="69"/>
      <c r="AN36" s="1061">
        <v>7.0</v>
      </c>
      <c r="AO36" s="69"/>
      <c r="AP36" s="1061">
        <v>8.0</v>
      </c>
      <c r="AQ36" s="69"/>
      <c r="AR36" s="1061">
        <v>7.636363636363637</v>
      </c>
      <c r="AS36" s="69"/>
      <c r="AT36" s="330">
        <v>8.73</v>
      </c>
      <c r="AU36" s="69"/>
      <c r="AV36" s="330">
        <v>7.36</v>
      </c>
      <c r="AW36" s="69"/>
      <c r="AX36" s="326">
        <v>7.45</v>
      </c>
      <c r="AY36" s="328"/>
      <c r="AZ36" s="328"/>
    </row>
    <row r="37" ht="26.25" customHeight="1">
      <c r="A37" s="1064"/>
      <c r="B37" s="1065"/>
      <c r="C37" s="732" t="s">
        <v>188</v>
      </c>
      <c r="D37" s="291">
        <f>AVERAGE(D3:D34)</f>
        <v>7.710951832</v>
      </c>
      <c r="E37" s="732" t="s">
        <v>188</v>
      </c>
      <c r="F37" s="291">
        <f>AVERAGE(F3:F34)</f>
        <v>8.01187838</v>
      </c>
      <c r="G37" s="1066" t="s">
        <v>188</v>
      </c>
      <c r="H37" s="1057">
        <f>AVERAGE(H3:H34)</f>
        <v>7.6025</v>
      </c>
      <c r="I37" s="732" t="s">
        <v>188</v>
      </c>
      <c r="J37" s="291">
        <f>AVERAGE(J3:J36)</f>
        <v>7.550882353</v>
      </c>
      <c r="K37" s="732" t="s">
        <v>188</v>
      </c>
      <c r="L37" s="1057">
        <f>AVERAGE(L3:L36)</f>
        <v>7.867941176</v>
      </c>
      <c r="M37" s="732" t="s">
        <v>188</v>
      </c>
      <c r="N37" s="291">
        <f>AVERAGE(N3:N34)</f>
        <v>8.0025</v>
      </c>
      <c r="O37" s="732" t="s">
        <v>188</v>
      </c>
      <c r="P37" s="291">
        <f>AVERAGE(P3:P34)</f>
        <v>8.3315625</v>
      </c>
      <c r="Q37" s="732" t="s">
        <v>188</v>
      </c>
      <c r="R37" s="291">
        <f>AVERAGE(R3:R34)</f>
        <v>7.35375</v>
      </c>
      <c r="S37" s="732" t="s">
        <v>188</v>
      </c>
      <c r="T37" s="291">
        <f>AVERAGE(T3:T34)</f>
        <v>7.0909375</v>
      </c>
      <c r="U37" s="732" t="s">
        <v>188</v>
      </c>
      <c r="V37" s="291">
        <f>AVERAGE(V3:V34)</f>
        <v>7.4728125</v>
      </c>
      <c r="W37" s="732" t="s">
        <v>188</v>
      </c>
      <c r="X37" s="291">
        <f>AVERAGE(X3:X36)</f>
        <v>7.77359335</v>
      </c>
      <c r="Y37" s="732" t="s">
        <v>188</v>
      </c>
      <c r="Z37" s="291">
        <f>AVERAGE(Z3:Z36)</f>
        <v>8.278235294</v>
      </c>
      <c r="AA37" s="732" t="s">
        <v>188</v>
      </c>
      <c r="AB37" s="291">
        <f>AVERAGE(AB3:AB36)</f>
        <v>8.136576169</v>
      </c>
      <c r="AC37" s="732" t="s">
        <v>188</v>
      </c>
      <c r="AD37" s="291">
        <f>AVERAGE(AD3:AD36)</f>
        <v>7.765957082</v>
      </c>
      <c r="AE37" s="732" t="s">
        <v>188</v>
      </c>
      <c r="AF37" s="291">
        <f>AVERAGE(AF3:AF36)</f>
        <v>7.648055376</v>
      </c>
      <c r="AG37" s="732" t="s">
        <v>188</v>
      </c>
      <c r="AH37" s="291">
        <f>AVERAGE(AH3:AH36)</f>
        <v>7.805824078</v>
      </c>
      <c r="AI37" s="732" t="s">
        <v>188</v>
      </c>
      <c r="AJ37" s="291">
        <f>AVERAGE(AJ3:AJ36)</f>
        <v>8.478074866</v>
      </c>
      <c r="AK37" s="732" t="s">
        <v>188</v>
      </c>
      <c r="AL37" s="291">
        <f>AVERAGE(AL3:AL36)</f>
        <v>7.584631055</v>
      </c>
      <c r="AM37" s="732" t="s">
        <v>188</v>
      </c>
      <c r="AN37" s="291">
        <f>AVERAGE(AN3:AN36)</f>
        <v>7.680541844</v>
      </c>
      <c r="AO37" s="732" t="s">
        <v>188</v>
      </c>
      <c r="AP37" s="291">
        <f>AVERAGE(AP3:AP36)</f>
        <v>7.886944238</v>
      </c>
      <c r="AQ37" s="732" t="s">
        <v>188</v>
      </c>
      <c r="AR37" s="291">
        <f>AVERAGE(AR3:AR36)</f>
        <v>7.658868093</v>
      </c>
      <c r="AS37" s="732" t="s">
        <v>188</v>
      </c>
      <c r="AT37" s="1057">
        <f>AVERAGE(AT3:AT34)</f>
        <v>8.254375</v>
      </c>
      <c r="AU37" s="732" t="s">
        <v>188</v>
      </c>
      <c r="AV37" s="291">
        <f>AVERAGE(AV3:AV34)</f>
        <v>7.6215625</v>
      </c>
      <c r="AW37" s="732" t="s">
        <v>188</v>
      </c>
      <c r="AX37" s="291">
        <f>AVERAGE(AX3:AX34)</f>
        <v>7.7728125</v>
      </c>
      <c r="AY37" s="1067"/>
      <c r="AZ37" s="1067"/>
    </row>
    <row r="38" ht="26.25" customHeight="1">
      <c r="A38" s="1047"/>
      <c r="B38" s="1048"/>
      <c r="C38" s="69"/>
      <c r="D38" s="69"/>
      <c r="E38" s="69"/>
      <c r="F38" s="69"/>
      <c r="G38" s="69"/>
      <c r="H38" s="69"/>
      <c r="I38" s="69"/>
      <c r="J38" s="69"/>
      <c r="K38" s="69"/>
      <c r="L38" s="69"/>
      <c r="M38" s="69"/>
      <c r="N38" s="69"/>
      <c r="O38" s="69"/>
      <c r="P38" s="69"/>
      <c r="Q38" s="69"/>
      <c r="R38" s="69"/>
      <c r="S38" s="69"/>
      <c r="T38" s="69"/>
      <c r="U38" s="69"/>
      <c r="V38" s="69"/>
      <c r="W38" s="69"/>
      <c r="X38" s="69"/>
      <c r="Y38" s="69"/>
      <c r="Z38" s="69"/>
      <c r="AA38" s="69"/>
      <c r="AB38" s="69"/>
      <c r="AC38" s="69"/>
      <c r="AD38" s="69"/>
      <c r="AE38" s="69"/>
      <c r="AF38" s="69"/>
      <c r="AG38" s="69"/>
      <c r="AH38" s="69"/>
      <c r="AI38" s="69"/>
      <c r="AJ38" s="69"/>
      <c r="AK38" s="69"/>
      <c r="AL38" s="69"/>
      <c r="AM38" s="69"/>
      <c r="AN38" s="69"/>
      <c r="AO38" s="69"/>
      <c r="AP38" s="69"/>
      <c r="AQ38" s="69"/>
      <c r="AR38" s="69"/>
      <c r="AS38" s="69"/>
      <c r="AT38" s="69"/>
      <c r="AU38" s="69"/>
      <c r="AV38" s="69"/>
      <c r="AW38" s="69"/>
      <c r="AX38" s="69"/>
      <c r="AY38" s="1067"/>
      <c r="AZ38" s="1067"/>
    </row>
    <row r="39" ht="25.5" customHeight="1">
      <c r="A39" s="1047"/>
      <c r="B39" s="1048"/>
      <c r="C39" s="1048"/>
      <c r="D39" s="1048"/>
      <c r="E39" s="1048"/>
      <c r="F39" s="1048"/>
      <c r="G39" s="1048"/>
      <c r="H39" s="1048"/>
      <c r="I39" s="1048"/>
      <c r="J39" s="1048"/>
      <c r="K39" s="1048"/>
      <c r="L39" s="1048"/>
      <c r="M39" s="1048"/>
      <c r="N39" s="1048"/>
      <c r="O39" s="1048"/>
      <c r="P39" s="1048"/>
      <c r="Q39" s="1048"/>
      <c r="R39" s="1048"/>
      <c r="S39" s="1048"/>
      <c r="T39" s="1048"/>
      <c r="U39" s="1048"/>
      <c r="V39" s="1048"/>
      <c r="W39" s="1048"/>
      <c r="X39" s="1048"/>
      <c r="Y39" s="1048"/>
      <c r="Z39" s="1048"/>
      <c r="AA39" s="1048"/>
      <c r="AB39" s="1048"/>
      <c r="AC39" s="1048"/>
      <c r="AD39" s="1048"/>
      <c r="AE39" s="1048"/>
      <c r="AF39" s="1048"/>
      <c r="AG39" s="1048"/>
      <c r="AH39" s="1048"/>
      <c r="AI39" s="1048"/>
      <c r="AJ39" s="1048"/>
      <c r="AK39" s="1048"/>
      <c r="AL39" s="1048"/>
      <c r="AM39" s="1048"/>
      <c r="AN39" s="1048"/>
      <c r="AO39" s="1048"/>
      <c r="AP39" s="1048"/>
      <c r="AQ39" s="1048"/>
      <c r="AR39" s="1048"/>
      <c r="AS39" s="1048"/>
      <c r="AT39" s="1048"/>
      <c r="AU39" s="1048"/>
      <c r="AV39" s="1048"/>
      <c r="AW39" s="1048"/>
      <c r="AX39" s="1048"/>
      <c r="AY39" s="978"/>
      <c r="AZ39" s="978"/>
    </row>
    <row r="40">
      <c r="A40" s="1047"/>
      <c r="B40" s="300" t="s">
        <v>70</v>
      </c>
      <c r="C40" s="1039" t="s">
        <v>530</v>
      </c>
      <c r="D40" s="315"/>
      <c r="E40" s="1039" t="s">
        <v>531</v>
      </c>
      <c r="F40" s="315"/>
      <c r="G40" s="1039" t="s">
        <v>595</v>
      </c>
      <c r="H40" s="315"/>
      <c r="I40" s="1039" t="s">
        <v>596</v>
      </c>
      <c r="J40" s="315"/>
      <c r="K40" s="1039" t="s">
        <v>597</v>
      </c>
      <c r="L40" s="315"/>
      <c r="M40" s="1039" t="s">
        <v>598</v>
      </c>
      <c r="N40" s="315"/>
      <c r="O40" s="1040" t="s">
        <v>599</v>
      </c>
      <c r="P40" s="160"/>
      <c r="Q40" s="1040" t="s">
        <v>600</v>
      </c>
      <c r="R40" s="160"/>
      <c r="S40" s="1041" t="s">
        <v>601</v>
      </c>
      <c r="T40" s="161"/>
      <c r="U40" s="1042" t="s">
        <v>602</v>
      </c>
      <c r="V40" s="315"/>
      <c r="W40" s="1039" t="s">
        <v>603</v>
      </c>
      <c r="X40" s="315"/>
      <c r="Y40" s="1039" t="s">
        <v>604</v>
      </c>
      <c r="Z40" s="315"/>
      <c r="AA40" s="1039" t="s">
        <v>605</v>
      </c>
      <c r="AB40" s="315"/>
      <c r="AC40" s="1039" t="s">
        <v>606</v>
      </c>
      <c r="AD40" s="315"/>
      <c r="AE40" s="1039" t="s">
        <v>607</v>
      </c>
      <c r="AF40" s="315"/>
      <c r="AG40" s="1039" t="s">
        <v>608</v>
      </c>
      <c r="AH40" s="315"/>
      <c r="AI40" s="1039" t="s">
        <v>609</v>
      </c>
      <c r="AJ40" s="315"/>
      <c r="AK40" s="1039" t="s">
        <v>610</v>
      </c>
      <c r="AL40" s="315"/>
      <c r="AM40" s="1039" t="s">
        <v>611</v>
      </c>
      <c r="AN40" s="315"/>
      <c r="AO40" s="1039" t="s">
        <v>612</v>
      </c>
      <c r="AP40" s="315"/>
      <c r="AQ40" s="1039" t="s">
        <v>613</v>
      </c>
      <c r="AR40" s="315"/>
      <c r="AS40" s="1039" t="s">
        <v>614</v>
      </c>
      <c r="AT40" s="315"/>
      <c r="AU40" s="1039" t="s">
        <v>615</v>
      </c>
      <c r="AV40" s="315"/>
      <c r="AW40" s="1039" t="s">
        <v>616</v>
      </c>
      <c r="AX40" s="315"/>
      <c r="AY40" s="1068"/>
      <c r="AZ40" s="1068"/>
    </row>
    <row r="41">
      <c r="A41" s="1047"/>
      <c r="B41" s="567" t="s">
        <v>73</v>
      </c>
      <c r="C41" s="1045" t="s">
        <v>555</v>
      </c>
      <c r="D41" s="311"/>
      <c r="E41" s="1045" t="s">
        <v>556</v>
      </c>
      <c r="F41" s="311"/>
      <c r="G41" s="1045" t="s">
        <v>617</v>
      </c>
      <c r="H41" s="311"/>
      <c r="I41" s="1045" t="s">
        <v>618</v>
      </c>
      <c r="J41" s="311"/>
      <c r="K41" s="1045" t="s">
        <v>619</v>
      </c>
      <c r="L41" s="311"/>
      <c r="M41" s="1045" t="s">
        <v>620</v>
      </c>
      <c r="N41" s="311"/>
      <c r="O41" s="1040" t="s">
        <v>621</v>
      </c>
      <c r="P41" s="160"/>
      <c r="Q41" s="1040" t="s">
        <v>622</v>
      </c>
      <c r="R41" s="160"/>
      <c r="S41" s="1041" t="s">
        <v>623</v>
      </c>
      <c r="T41" s="161"/>
      <c r="U41" s="1046" t="s">
        <v>624</v>
      </c>
      <c r="V41" s="311"/>
      <c r="W41" s="1045" t="s">
        <v>625</v>
      </c>
      <c r="X41" s="311"/>
      <c r="Y41" s="1045" t="s">
        <v>626</v>
      </c>
      <c r="Z41" s="311"/>
      <c r="AA41" s="1045" t="s">
        <v>627</v>
      </c>
      <c r="AB41" s="311"/>
      <c r="AC41" s="1045" t="s">
        <v>628</v>
      </c>
      <c r="AD41" s="311"/>
      <c r="AE41" s="1045" t="s">
        <v>629</v>
      </c>
      <c r="AF41" s="311"/>
      <c r="AG41" s="1045" t="s">
        <v>630</v>
      </c>
      <c r="AH41" s="311"/>
      <c r="AI41" s="1045" t="s">
        <v>631</v>
      </c>
      <c r="AJ41" s="311"/>
      <c r="AK41" s="1045" t="s">
        <v>632</v>
      </c>
      <c r="AL41" s="311"/>
      <c r="AM41" s="1045" t="s">
        <v>633</v>
      </c>
      <c r="AN41" s="311"/>
      <c r="AO41" s="1045" t="s">
        <v>634</v>
      </c>
      <c r="AP41" s="311"/>
      <c r="AQ41" s="1045" t="s">
        <v>635</v>
      </c>
      <c r="AR41" s="311"/>
      <c r="AS41" s="1045" t="s">
        <v>636</v>
      </c>
      <c r="AT41" s="311"/>
      <c r="AU41" s="1045" t="s">
        <v>637</v>
      </c>
      <c r="AV41" s="311"/>
      <c r="AW41" s="1045" t="s">
        <v>638</v>
      </c>
      <c r="AX41" s="311"/>
      <c r="AY41" s="1068"/>
      <c r="AZ41" s="1068"/>
    </row>
    <row r="42">
      <c r="A42" s="1047"/>
      <c r="B42" s="1048"/>
      <c r="C42" s="1048"/>
      <c r="D42" s="1048"/>
      <c r="E42" s="1048"/>
      <c r="F42" s="1048"/>
      <c r="G42" s="1048"/>
      <c r="H42" s="1048"/>
      <c r="I42" s="1048"/>
      <c r="J42" s="1048"/>
      <c r="K42" s="1048"/>
      <c r="L42" s="1048"/>
      <c r="M42" s="1048"/>
      <c r="N42" s="1048"/>
      <c r="O42" s="1048"/>
      <c r="P42" s="1048"/>
      <c r="Q42" s="1048"/>
      <c r="R42" s="1048"/>
      <c r="S42" s="1048"/>
      <c r="T42" s="1048"/>
      <c r="U42" s="1048"/>
      <c r="V42" s="1048"/>
      <c r="W42" s="1048"/>
      <c r="X42" s="1048"/>
      <c r="Y42" s="1048"/>
      <c r="Z42" s="1048"/>
      <c r="AA42" s="1048"/>
      <c r="AB42" s="1048"/>
      <c r="AC42" s="1048"/>
      <c r="AD42" s="1048"/>
      <c r="AE42" s="1048"/>
      <c r="AF42" s="1048"/>
      <c r="AG42" s="1048"/>
      <c r="AH42" s="1048"/>
      <c r="AI42" s="1048"/>
      <c r="AJ42" s="1048"/>
      <c r="AK42" s="1048"/>
      <c r="AL42" s="1048"/>
      <c r="AM42" s="1048"/>
      <c r="AN42" s="1048"/>
      <c r="AO42" s="1048"/>
      <c r="AP42" s="1048"/>
      <c r="AQ42" s="1048"/>
      <c r="AR42" s="1048"/>
      <c r="AS42" s="1048"/>
      <c r="AT42" s="1048"/>
      <c r="AU42" s="1048"/>
      <c r="AV42" s="1048"/>
      <c r="AW42" s="1048"/>
      <c r="AX42" s="1048"/>
      <c r="AY42" s="978"/>
      <c r="AZ42" s="978"/>
    </row>
    <row r="43">
      <c r="A43" s="1047"/>
      <c r="B43" s="1048"/>
      <c r="C43" s="1048"/>
      <c r="D43" s="1048"/>
      <c r="E43" s="1048"/>
      <c r="F43" s="1048"/>
      <c r="G43" s="1048"/>
      <c r="H43" s="1048"/>
      <c r="I43" s="1048"/>
      <c r="J43" s="1048"/>
      <c r="K43" s="1048"/>
      <c r="L43" s="1048"/>
      <c r="M43" s="1048"/>
      <c r="N43" s="1048"/>
      <c r="O43" s="1048"/>
      <c r="P43" s="1048"/>
      <c r="Q43" s="1048"/>
      <c r="R43" s="1048"/>
      <c r="S43" s="1048"/>
      <c r="T43" s="1048"/>
      <c r="U43" s="1048"/>
      <c r="V43" s="1048"/>
      <c r="W43" s="1048"/>
      <c r="X43" s="1048"/>
      <c r="Y43" s="1048"/>
      <c r="Z43" s="1048"/>
      <c r="AA43" s="1048"/>
      <c r="AB43" s="1048"/>
      <c r="AC43" s="1048"/>
      <c r="AD43" s="1048"/>
      <c r="AE43" s="1048"/>
      <c r="AF43" s="1048"/>
      <c r="AG43" s="1048"/>
      <c r="AH43" s="1048"/>
      <c r="AI43" s="1048"/>
      <c r="AJ43" s="1048"/>
      <c r="AK43" s="1048"/>
      <c r="AL43" s="1048"/>
      <c r="AM43" s="1048"/>
      <c r="AN43" s="1048"/>
      <c r="AO43" s="1048"/>
      <c r="AP43" s="1048"/>
      <c r="AQ43" s="1048"/>
      <c r="AR43" s="1048"/>
      <c r="AS43" s="1048"/>
      <c r="AT43" s="1048"/>
      <c r="AU43" s="1048"/>
      <c r="AV43" s="1048"/>
      <c r="AW43" s="1048"/>
      <c r="AX43" s="1048"/>
      <c r="AY43" s="978"/>
      <c r="AZ43" s="978"/>
    </row>
  </sheetData>
  <mergeCells count="270">
    <mergeCell ref="A3:A6"/>
    <mergeCell ref="E3:E6"/>
    <mergeCell ref="I3:I6"/>
    <mergeCell ref="M3:M6"/>
    <mergeCell ref="A7:A15"/>
    <mergeCell ref="E7:E15"/>
    <mergeCell ref="I7:I15"/>
    <mergeCell ref="AO7:AO15"/>
    <mergeCell ref="AQ7:AQ15"/>
    <mergeCell ref="AS7:AS15"/>
    <mergeCell ref="AU7:AU15"/>
    <mergeCell ref="AW7:AW15"/>
    <mergeCell ref="AA7:AA15"/>
    <mergeCell ref="AC7:AC15"/>
    <mergeCell ref="AE7:AE15"/>
    <mergeCell ref="AG7:AG15"/>
    <mergeCell ref="AI7:AI15"/>
    <mergeCell ref="AK7:AK15"/>
    <mergeCell ref="AM7:AM15"/>
    <mergeCell ref="M7:M15"/>
    <mergeCell ref="O7:O15"/>
    <mergeCell ref="Q7:Q15"/>
    <mergeCell ref="S7:S15"/>
    <mergeCell ref="U7:U15"/>
    <mergeCell ref="W7:W15"/>
    <mergeCell ref="Y7:Y15"/>
    <mergeCell ref="C3:C6"/>
    <mergeCell ref="C7:C15"/>
    <mergeCell ref="A16:A20"/>
    <mergeCell ref="C16:C20"/>
    <mergeCell ref="E16:E20"/>
    <mergeCell ref="C21:C25"/>
    <mergeCell ref="E21:E25"/>
    <mergeCell ref="A21:A25"/>
    <mergeCell ref="A26:A31"/>
    <mergeCell ref="C26:C31"/>
    <mergeCell ref="E26:E31"/>
    <mergeCell ref="M26:M31"/>
    <mergeCell ref="O26:O31"/>
    <mergeCell ref="Q26:Q31"/>
    <mergeCell ref="AU26:AU31"/>
    <mergeCell ref="AW26:AW31"/>
    <mergeCell ref="AQ16:AQ20"/>
    <mergeCell ref="AQ21:AQ25"/>
    <mergeCell ref="AK26:AK31"/>
    <mergeCell ref="AM26:AM31"/>
    <mergeCell ref="AO26:AO31"/>
    <mergeCell ref="AQ26:AQ31"/>
    <mergeCell ref="AS26:AS31"/>
    <mergeCell ref="AG37:AG38"/>
    <mergeCell ref="AH37:AH38"/>
    <mergeCell ref="Z37:Z38"/>
    <mergeCell ref="AA37:AA38"/>
    <mergeCell ref="AB37:AB38"/>
    <mergeCell ref="AC37:AC38"/>
    <mergeCell ref="AD37:AD38"/>
    <mergeCell ref="AE37:AE38"/>
    <mergeCell ref="AF37:AF38"/>
    <mergeCell ref="AP37:AP38"/>
    <mergeCell ref="AQ37:AQ38"/>
    <mergeCell ref="AI37:AI38"/>
    <mergeCell ref="AJ37:AJ38"/>
    <mergeCell ref="AK37:AK38"/>
    <mergeCell ref="AL37:AL38"/>
    <mergeCell ref="AM37:AM38"/>
    <mergeCell ref="AN37:AN38"/>
    <mergeCell ref="AO37:AO38"/>
    <mergeCell ref="AU37:AU38"/>
    <mergeCell ref="AV37:AV38"/>
    <mergeCell ref="AM32:AM36"/>
    <mergeCell ref="AO32:AO36"/>
    <mergeCell ref="AQ32:AQ36"/>
    <mergeCell ref="AS32:AS36"/>
    <mergeCell ref="AU32:AU36"/>
    <mergeCell ref="AW32:AW36"/>
    <mergeCell ref="AR37:AR38"/>
    <mergeCell ref="AW37:AW38"/>
    <mergeCell ref="G3:G6"/>
    <mergeCell ref="G7:G15"/>
    <mergeCell ref="G16:G20"/>
    <mergeCell ref="I16:I20"/>
    <mergeCell ref="G21:G25"/>
    <mergeCell ref="I21:I25"/>
    <mergeCell ref="G26:G31"/>
    <mergeCell ref="K32:K36"/>
    <mergeCell ref="M32:M36"/>
    <mergeCell ref="O32:O36"/>
    <mergeCell ref="Q32:Q36"/>
    <mergeCell ref="S32:S36"/>
    <mergeCell ref="U32:U36"/>
    <mergeCell ref="W32:W36"/>
    <mergeCell ref="I26:I31"/>
    <mergeCell ref="K26:K31"/>
    <mergeCell ref="A32:A36"/>
    <mergeCell ref="C32:C36"/>
    <mergeCell ref="E32:E36"/>
    <mergeCell ref="G32:G36"/>
    <mergeCell ref="I32:I36"/>
    <mergeCell ref="C37:C38"/>
    <mergeCell ref="D37:D38"/>
    <mergeCell ref="E37:E38"/>
    <mergeCell ref="F37:F38"/>
    <mergeCell ref="G37:G38"/>
    <mergeCell ref="H37:H38"/>
    <mergeCell ref="I37:I38"/>
    <mergeCell ref="J37:J38"/>
    <mergeCell ref="K37:K38"/>
    <mergeCell ref="L37:L38"/>
    <mergeCell ref="M37:M38"/>
    <mergeCell ref="N37:N38"/>
    <mergeCell ref="O37:O38"/>
    <mergeCell ref="P37:P38"/>
    <mergeCell ref="Y32:Y36"/>
    <mergeCell ref="AA32:AA36"/>
    <mergeCell ref="AC32:AC36"/>
    <mergeCell ref="AE32:AE36"/>
    <mergeCell ref="AG32:AG36"/>
    <mergeCell ref="AI32:AI36"/>
    <mergeCell ref="AK32:AK36"/>
    <mergeCell ref="AS37:AS38"/>
    <mergeCell ref="AT37:AT38"/>
    <mergeCell ref="Q1:R1"/>
    <mergeCell ref="S1:T1"/>
    <mergeCell ref="U1:V1"/>
    <mergeCell ref="W1:X1"/>
    <mergeCell ref="Y1:Z1"/>
    <mergeCell ref="AA1:AB1"/>
    <mergeCell ref="AC1:AD1"/>
    <mergeCell ref="AS1:AT1"/>
    <mergeCell ref="AU1:AV1"/>
    <mergeCell ref="AW1:AX1"/>
    <mergeCell ref="AE1:AF1"/>
    <mergeCell ref="AG1:AH1"/>
    <mergeCell ref="AI1:AJ1"/>
    <mergeCell ref="AK1:AL1"/>
    <mergeCell ref="AM1:AN1"/>
    <mergeCell ref="AO1:AP1"/>
    <mergeCell ref="AQ1:AR1"/>
    <mergeCell ref="C1:D1"/>
    <mergeCell ref="E1:F1"/>
    <mergeCell ref="G1:H1"/>
    <mergeCell ref="I1:J1"/>
    <mergeCell ref="K1:L1"/>
    <mergeCell ref="M1:N1"/>
    <mergeCell ref="O1:P1"/>
    <mergeCell ref="O3:O6"/>
    <mergeCell ref="Q3:Q6"/>
    <mergeCell ref="S3:S6"/>
    <mergeCell ref="U3:U6"/>
    <mergeCell ref="W3:W6"/>
    <mergeCell ref="Y3:Y6"/>
    <mergeCell ref="AA3:AA6"/>
    <mergeCell ref="AQ3:AQ6"/>
    <mergeCell ref="AS3:AS6"/>
    <mergeCell ref="AU3:AU6"/>
    <mergeCell ref="AW3:AW6"/>
    <mergeCell ref="AC3:AC6"/>
    <mergeCell ref="AE3:AE6"/>
    <mergeCell ref="AG3:AG6"/>
    <mergeCell ref="AI3:AI6"/>
    <mergeCell ref="AK3:AK6"/>
    <mergeCell ref="AM3:AM6"/>
    <mergeCell ref="AO3:AO6"/>
    <mergeCell ref="AI16:AI20"/>
    <mergeCell ref="AK16:AK20"/>
    <mergeCell ref="U16:U20"/>
    <mergeCell ref="W16:W20"/>
    <mergeCell ref="Y16:Y20"/>
    <mergeCell ref="AA16:AA20"/>
    <mergeCell ref="AC16:AC20"/>
    <mergeCell ref="AE16:AE20"/>
    <mergeCell ref="AG16:AG20"/>
    <mergeCell ref="M16:M20"/>
    <mergeCell ref="M21:M25"/>
    <mergeCell ref="Q16:Q20"/>
    <mergeCell ref="Q21:Q25"/>
    <mergeCell ref="K3:K6"/>
    <mergeCell ref="K7:K15"/>
    <mergeCell ref="K16:K20"/>
    <mergeCell ref="O16:O20"/>
    <mergeCell ref="S16:S20"/>
    <mergeCell ref="K21:K25"/>
    <mergeCell ref="O21:O25"/>
    <mergeCell ref="S21:S25"/>
    <mergeCell ref="AI21:AI25"/>
    <mergeCell ref="AK21:AK25"/>
    <mergeCell ref="U21:U25"/>
    <mergeCell ref="W21:W25"/>
    <mergeCell ref="Y21:Y25"/>
    <mergeCell ref="AA21:AA25"/>
    <mergeCell ref="AC21:AC25"/>
    <mergeCell ref="AE21:AE25"/>
    <mergeCell ref="AG21:AG25"/>
    <mergeCell ref="AU16:AU20"/>
    <mergeCell ref="AU21:AU25"/>
    <mergeCell ref="AM16:AM20"/>
    <mergeCell ref="AO16:AO20"/>
    <mergeCell ref="AS16:AS20"/>
    <mergeCell ref="AW16:AW20"/>
    <mergeCell ref="AM21:AM25"/>
    <mergeCell ref="AO21:AO25"/>
    <mergeCell ref="AS21:AS25"/>
    <mergeCell ref="AW21:AW25"/>
    <mergeCell ref="AG26:AG31"/>
    <mergeCell ref="AI26:AI31"/>
    <mergeCell ref="S26:S31"/>
    <mergeCell ref="U26:U31"/>
    <mergeCell ref="W26:W31"/>
    <mergeCell ref="Y26:Y31"/>
    <mergeCell ref="AA26:AA31"/>
    <mergeCell ref="AC26:AC31"/>
    <mergeCell ref="AE26:AE31"/>
    <mergeCell ref="AE41:AF41"/>
    <mergeCell ref="AG41:AH41"/>
    <mergeCell ref="Q41:R41"/>
    <mergeCell ref="S41:T41"/>
    <mergeCell ref="U41:V41"/>
    <mergeCell ref="W41:X41"/>
    <mergeCell ref="Y41:Z41"/>
    <mergeCell ref="AA41:AB41"/>
    <mergeCell ref="AC41:AD41"/>
    <mergeCell ref="X37:X38"/>
    <mergeCell ref="Y37:Y38"/>
    <mergeCell ref="AX37:AX38"/>
    <mergeCell ref="Q37:Q38"/>
    <mergeCell ref="R37:R38"/>
    <mergeCell ref="S37:S38"/>
    <mergeCell ref="T37:T38"/>
    <mergeCell ref="U37:U38"/>
    <mergeCell ref="V37:V38"/>
    <mergeCell ref="W37:W38"/>
    <mergeCell ref="Q40:R40"/>
    <mergeCell ref="S40:T40"/>
    <mergeCell ref="U40:V40"/>
    <mergeCell ref="W40:X40"/>
    <mergeCell ref="Y40:Z40"/>
    <mergeCell ref="AA40:AB40"/>
    <mergeCell ref="AC40:AD40"/>
    <mergeCell ref="AS40:AT40"/>
    <mergeCell ref="AU40:AV40"/>
    <mergeCell ref="AW40:AX40"/>
    <mergeCell ref="C40:D40"/>
    <mergeCell ref="E40:F40"/>
    <mergeCell ref="G40:H40"/>
    <mergeCell ref="I40:J40"/>
    <mergeCell ref="K40:L40"/>
    <mergeCell ref="M40:N40"/>
    <mergeCell ref="O40:P40"/>
    <mergeCell ref="C41:D41"/>
    <mergeCell ref="E41:F41"/>
    <mergeCell ref="G41:H41"/>
    <mergeCell ref="I41:J41"/>
    <mergeCell ref="K41:L41"/>
    <mergeCell ref="M41:N41"/>
    <mergeCell ref="O41:P41"/>
    <mergeCell ref="AI41:AJ41"/>
    <mergeCell ref="AK41:AL41"/>
    <mergeCell ref="AM41:AN41"/>
    <mergeCell ref="AO41:AP41"/>
    <mergeCell ref="AQ41:AR41"/>
    <mergeCell ref="AS41:AT41"/>
    <mergeCell ref="AU41:AV41"/>
    <mergeCell ref="AW41:AX41"/>
    <mergeCell ref="AE40:AF40"/>
    <mergeCell ref="AG40:AH40"/>
    <mergeCell ref="AI40:AJ40"/>
    <mergeCell ref="AK40:AL40"/>
    <mergeCell ref="AM40:AN40"/>
    <mergeCell ref="AO40:AP40"/>
    <mergeCell ref="AQ40:AR40"/>
  </mergeCells>
  <conditionalFormatting sqref="C3:C30 D3:D38 E3:E30 F3:F38 G3:G30 H3:H38 I3:I30 J3:J38 K3:K30 L3:L38 M3:M30 N3:N38 O3:O30 P3:P38 Q3:Q30 R3:R38 S3:S30 T3:T38 U3:U30 V3:V38 W3:W30 X3:X38 Y3:Y30 Z3:Z38 AA3:AA30 AB3:AB38 AC3:AC30 AD3:AD38 AE3:AE30 AF3:AF38 AG3:AG30 AH3:AH38 AI3:AI30 AJ3:AJ38 AK3:AK30 AL3:AL38 AM3:AM30 AN3:AN38 AO3:AO30 AP3:AP38 AQ3:AQ30 AR3:AR38 AS3:AS30 AT3:AT38 AU3:AU30 AV3:AV38 AW3:AW30 AX3:AZ38">
    <cfRule type="cellIs" dxfId="5" priority="1" operator="between">
      <formula>7.10001</formula>
      <formula>7.5</formula>
    </cfRule>
  </conditionalFormatting>
  <conditionalFormatting sqref="C3:C36 D3:D38 E3:E36 F3:F38 G3:G36 H3:H38 I3:I36 J3:J38 K3:K36 L3:L38 M3:M36 N3:N38 O3:O36 P3:P38 Q3:Q36 R3:R38 S3:S36 T3:T38 U3:U36 V3:V38 W3:W36 X3:X38 Y3:Y36 Z3:Z38 AA3:AA36 AB3:AB38 AC3:AC36 AD3:AD38 AE3:AE36 AF3:AF38 AG3:AG36 AH3:AH38 AI3:AI36 AJ3:AJ38 AK3:AK36 AL3:AL38 AM3:AM36 AN3:AN38 AO3:AO36 AP3:AP38 AQ3:AQ36 AR3:AR38 AS3:AS36 AT3:AT38 AU3:AU36 AV3:AV38 AW3:AW36 AX3:AZ38">
    <cfRule type="cellIs" dxfId="1" priority="2" operator="greaterThan">
      <formula>8.5</formula>
    </cfRule>
  </conditionalFormatting>
  <conditionalFormatting sqref="C3:C36 D3:D38 E3:E36 F3:F38 G3:G36 H3:H38 I3:I36 J3:J38 K3:K36 L3:L38 M3:M36 N3:N38 O3:O36 P3:P38 Q3:Q36 R3:R38 S3:S36 T3:T38 U3:U36 V3:V38 W3:W36 X3:X38 Y3:Y36 Z3:Z38 AA3:AA36 AB3:AB38 AC3:AC36 AD3:AD38 AE3:AE36 AF3:AF38 AG3:AG36 AH3:AH38 AI3:AI36 AJ3:AJ38 AK3:AK36 AL3:AL38 AM3:AM36 AN3:AN38 AO3:AO36 AP3:AP38 AQ3:AQ36 AR3:AR38 AS3:AS36 AT3:AT38 AU3:AU36 AV3:AV38 AW3:AW36 AX3:AZ38">
    <cfRule type="cellIs" dxfId="12" priority="3" operator="between">
      <formula>8.000001</formula>
      <formula>8.5</formula>
    </cfRule>
  </conditionalFormatting>
  <conditionalFormatting sqref="C3:C36 D3:D38 E3:E36 F3:F38 G3:G36 H3:H38 I3:I36 J3:J38 K3:K36 L3:L38 M3:M36 N3:N38 O3:O36 P3:P38 Q3:Q36 R3:R38 S3:S36 T3:T38 U3:U36 V3:V38 W3:W36 X3:X38 Y3:Y36 Z3:Z38 AA3:AA36 AB3:AB38 AC3:AC36 AD3:AD38 AE3:AE36 AF3:AF38 AG3:AG36 AH3:AH38 AI3:AI36 AJ3:AJ38 AK3:AK36 AL3:AL38 AM3:AM36 AN3:AN38 AO3:AO36 AP3:AP38 AQ3:AQ36 AR3:AR38 AS3:AS36 AT3:AT38 AU3:AU36 AV3:AV38 AW3:AW36 AX3:AZ38">
    <cfRule type="cellIs" dxfId="3" priority="4" operator="between">
      <formula>7.500001</formula>
      <formula>8</formula>
    </cfRule>
  </conditionalFormatting>
  <conditionalFormatting sqref="C3:C30 D3:D38 E3:E30 F3:F38 G3:G30 H3:H38 I3:I30 J3:J38 K3:K30 L3:L38 M3:M30 N3:N38 O3:O30 P3:P38 Q3:Q30 R3:R38 S3:S30 T3:T38 U3:U30 V3:V38 W3:W30 X3:X38 Y3:Y30 Z3:Z38 AA3:AA30 AB3:AB38 AC3:AC35 AD3:AD38 AE3:AE30 AF3:AF38 AG3:AG30 AH3:AH38 AI3:AI30 AJ3:AJ38 AK3:AK30 AL3:AL38 AM3:AM30 AN3:AN38 AO3:AO30 AP3:AP38 AQ3:AQ30 AR3:AR38 AS3:AS30 AT3:AT38 AU3:AU30 AV3:AV38 AW3:AW30 AX3:AZ38 C32 E32 G32 I32 K32 M32 O32 Q32 S32 U32 W32 Y32 AA32 AE32 AG32 AI32 AK32 AM32 AO32 AQ32 AS32 AU32 AW32 C34 E34 G34 I34 K34 M34 O34 Q34 S34 U34 W34 Y34 AA34 AE34 AG34 AI34 AK34 AM34 AO34 AQ34 AS34 AU34 AW34">
    <cfRule type="cellIs" dxfId="4" priority="5" operator="between">
      <formula>6.50001</formula>
      <formula>7</formula>
    </cfRule>
  </conditionalFormatting>
  <conditionalFormatting sqref="C3:C36 D3:D38 E3:E36 F3:F38 G3:G36 H3:H38 I3:I36 J3:J38 K3:K36 L3:L38 M3:M36 N3:N38 O3:O36 P3:P38 Q3:Q36 R3:R38 S3:S36 T3:T38 U3:U36 V3:V38 W3:W36 X3:X38 Y3:Y36 Z3:Z38 AA3:AA36 AB3:AB38 AC3:AC36 AD3:AD38 AE3:AE36 AF3:AF38 AG3:AG36 AH3:AH38 AI3:AI36 AJ3:AJ38 AK3:AK36 AL3:AL38 AM3:AM36 AN3:AN38 AO3:AO36 AP3:AP38 AQ3:AQ36 AR3:AR38 AS3:AS36 AT3:AT38 AU3:AU36 AV3:AV38 AW3:AW36 AX3:AZ38">
    <cfRule type="cellIs" dxfId="5" priority="6" operator="between">
      <formula>7.00001</formula>
      <formula>7.5</formula>
    </cfRule>
  </conditionalFormatting>
  <conditionalFormatting sqref="C3:C33 D3:D35 E3:E33 F3:F35 G3:G33 H3:H35 I3:I33 J3:J35 K3:K33 L3:L35 M3:M33 N3:N35 O3:O33 P3:P35 Q3:Q33 R3:R35 S3:S33 T3:T35 U3:U33 V3:V35 W3:W33 X3:X35 Y3:Y33 Z3:Z35 AA3:AA33 AB3:AF36 AG3:AG33 AH3:AH36 AI3:AI33 AJ3:AJ36 AK3:AK33 AL3:AL36 AM3:AM33 AN3:AN36 AO3:AO33 AP3:AP36 AQ3:AQ33 AR3:AR36 AS3:AS33 AT3:AT36 AU3:AU33 AV3:AV36 AW3:AW33 AX3:AZ36">
    <cfRule type="cellIs" dxfId="1" priority="7" operator="greaterThan">
      <formula>8.8</formula>
    </cfRule>
  </conditionalFormatting>
  <conditionalFormatting sqref="C3:C33 D3:D35 E3:E33 F3:F35 G3:G33 H3:H35 I3:I33 J3:J35 K3:K33 L3:L35 M3:M33 N3:N35 O3:O33 P3:P35 Q3:Q33 R3:R35 S3:S33 T3:T35 U3:U33 V3:V35 W3:W33 X3:X35 Y3:Y33 Z3:Z35 AA3:AA33 AB3:AF36 AG3:AG33 AH3:AH36 AI3:AI33 AJ3:AJ36 AK3:AK33 AL3:AL36 AM3:AM33 AN3:AN36 AO3:AO33 AP3:AP36 AQ3:AQ33 AR3:AR36 AS3:AS33 AT3:AT36 AU3:AU33 AV3:AV36 AW3:AW33 AX3:AZ36">
    <cfRule type="cellIs" dxfId="12" priority="8" operator="between">
      <formula>8.300001</formula>
      <formula>8.8</formula>
    </cfRule>
  </conditionalFormatting>
  <conditionalFormatting sqref="C3:C33 D3:D35 E3:E33 F3:F35 G3:G33 H3:H35 I3:I33 J3:J35 K3:K33 L3:L35 M3:M33 N3:N35 O3:O33 P3:P35 Q3:Q33 R3:R35 S3:S33 T3:T35 U3:U33 V3:V35 W3:W33 X3:X35 Y3:Y33 Z3:Z35 AA3:AA33 AB3:AF36 AG3:AG33 AH3:AH36 AI3:AI33 AJ3:AJ36 AK3:AK33 AL3:AL36 AM3:AM33 AN3:AN36 AO3:AO33 AP3:AP36 AQ3:AQ33 AR3:AR36 AS3:AS33 AT3:AT36 AU3:AU33 AV3:AV36 AW3:AW33 AX3:AZ36">
    <cfRule type="cellIs" dxfId="3" priority="9" operator="between">
      <formula>7.800001</formula>
      <formula>8.3</formula>
    </cfRule>
  </conditionalFormatting>
  <conditionalFormatting sqref="C3:C36 D3:D38 E3:E36 F3:F38 G3:G36 H3:H38 I3:I36 J3:J38 K3:K36 L3:L38 M3:M36 N3:N38 O3:O36 P3:P38 Q3:Q36 R3:R38 S3:S36 T3:T38 U3:U36 V3:V38 W3:W36 X3:X38 Y3:Y36 Z3:Z38 AA3:AA36 AB3:AB38 AC3:AC36 AD3:AD38 AE3:AE36 AF3:AF38 AG3:AG36 AH3:AH38 AI3:AI36 AJ3:AJ38 AK3:AK36 AL3:AL38 AM3:AM36 AN3:AN38 AO3:AO36 AP3:AP38 AQ3:AQ36 AR3:AR38 AS3:AS36 AT3:AT38 AU3:AU36 AV3:AV38 AW3:AW36 AX3:AZ38">
    <cfRule type="cellIs" dxfId="4" priority="10" operator="between">
      <formula>6.50001</formula>
      <formula>7.1</formula>
    </cfRule>
  </conditionalFormatting>
  <conditionalFormatting sqref="C3:C33 D3:D35 E3:E33 F3:F35 G3:G33 H3:H35 I3:I33 J3:J35 K3:K33 L3:L35 M3:M33 N3:N35 O3:O33 P3:P35 Q3:Q33 R3:R35 S3:S33 T3:T35 U3:U33 V3:V35 W3:W33 X3:X35 Y3:Y33 Z3:Z35 AA3:AA33 AB3:AF36 AG3:AG33 AH3:AH36 AI3:AI33 AJ3:AJ36 AK3:AK33 AL3:AL36 AM3:AM33 AN3:AN36 AO3:AO33 AP3:AP36 AQ3:AQ33 AR3:AR36 AS3:AS33 AT3:AT36 AU3:AU33 AV3:AV36 AW3:AW33 AX3:AZ36">
    <cfRule type="cellIs" dxfId="5" priority="11" operator="between">
      <formula>7.10001</formula>
      <formula>7.8</formula>
    </cfRule>
  </conditionalFormatting>
  <conditionalFormatting sqref="C3:C36 D3:D38 E3:E36 F3:F38 G3:G36 H3:H38 I3:I36 J3:J38 K3:K36 L3:L38 M3:M36 N3:N38 O3:O36 P3:P38 Q3:Q36 R3:R38 S3:S36 T3:T38 U3:U36 V3:V38 W3:W36 X3:X38 Y3:Y36 Z3:Z38 AA3:AA36 AB3:AB38 AC3:AC36 AD3:AD38 AE3:AE36 AF3:AF38 AG3:AG36 AH3:AH38 AI3:AI36 AJ3:AJ38 AK3:AK36 AL3:AL38 AM3:AM36 AN3:AN38 AO3:AO36 AP3:AP38 AQ3:AQ36 AR3:AR38 AS3:AS36 AT3:AT38 AU3:AU36 AV3:AV38 AW3:AW36 AX3:AZ38">
    <cfRule type="cellIs" dxfId="6" priority="12" operator="between">
      <formula>0</formula>
      <formula>6.5</formula>
    </cfRule>
  </conditionalFormatting>
  <conditionalFormatting sqref="C3:C33 D3:D36 E3:E33 F3:F36 G3:G33 H3:H36 I3:I33 J3:J36 K3:K33 L3:L36 M3:M33 N3:N36 O3:O33 P3:P36 Q3:Q33 R3:R36 S3:S33 T3:T36 U3:U33 V3:V36 W3:W33 X3:X36 Y3:Y33 Z3:Z36 AA3:AA33 AB3:AB36 AC3:AC33 AD3:AF36 AG3:AG33 AH3:AH36 AI3:AI33 AJ3:AJ36 AK3:AK33 AL3:AL36 AM3:AM33 AN3:AN36 AO3:AO33 AP3:AP36 AQ3:AQ33 AR3:AR36 AS3:AS33 AT3:AT36 AU3:AU33 AV3:AV36 AW3:AW33 AX3:AZ36">
    <cfRule type="cellIs" dxfId="4" priority="13" operator="between">
      <formula>6.50001</formula>
      <formula>7.2</formula>
    </cfRule>
  </conditionalFormatting>
  <conditionalFormatting sqref="C3:C33 D3:D36 E3:E33 F3:F36 G3:G33 H3:H36 I3:I33 J3:J36 K3:K33 L3:L36 M3:M33 N3:N36 O3:O33 P3:P36 Q3:Q33 R3:R36 S3:S33 T3:T36 U3:U33 V3:V36 W3:W33 X3:X36 Y3:Y33 Z3:Z36 AA3:AA33 AB3:AB36 AC3:AC33 AD3:AF36 AG3:AG33 AH3:AH36 AI3:AI33 AJ3:AJ36 AK3:AK33 AL3:AL36 AM3:AM33 AN3:AN36 AO3:AO33 AP3:AP36 AQ3:AQ33 AR3:AR36 AS3:AS33 AT3:AT36 AU3:AU33 AV3:AV36 AW3:AW33 AX3:AZ36">
    <cfRule type="cellIs" dxfId="5" priority="14" operator="between">
      <formula>7.20001</formula>
      <formula>8</formula>
    </cfRule>
  </conditionalFormatting>
  <conditionalFormatting sqref="C3:C33 D3:D36 E3:E33 F3:F36 G3:G33 H3:H36 I3:I33 J3:J36 K3:K33 L3:L36 M3:M33 N3:N36 O3:O33 P3:P36 Q3:Q33 R3:R36 S3:S33 T3:T36 U3:U33 V3:V36 W3:W33 X3:X36 Y3:Y33 Z3:Z36 AA3:AA33 AB3:AB36 AC3:AC33 AD3:AF36 AG3:AG33 AH3:AH36 AI3:AI33 AJ3:AJ36 AK3:AK33 AL3:AL36 AM3:AM33 AN3:AN36 AO3:AO33 AP3:AP36 AQ3:AQ33 AR3:AR36 AS3:AS33 AT3:AT36 AU3:AU33 AV3:AV36 AW3:AW33 AX3:AZ36">
    <cfRule type="cellIs" dxfId="3" priority="15" operator="between">
      <formula>8.0001</formula>
      <formula>8.5</formula>
    </cfRule>
  </conditionalFormatting>
  <conditionalFormatting sqref="C3:C33 D3:D36 E3:E33 F3:F36 G3:G33 H3:H36 I3:I33 J3:J36 K3:K33 L3:L36 M3:M33 N3:N36 O3:O33 P3:P36 Q3:Q33 R3:R36 S3:S33 T3:T36 U3:U33 V3:V36 W3:W33 X3:X36 Y3:Y33 Z3:Z36 AA3:AA33 AB3:AB36 AC3:AC33 AD3:AF36 AG3:AG33 AH3:AH36 AI3:AI33 AJ3:AJ36 AK3:AK33 AL3:AL36 AM3:AM33 AN3:AN36 AO3:AO33 AP3:AP36 AQ3:AQ33 AR3:AR36 AS3:AS33 AT3:AT36 AU3:AU33 AV3:AV36 AW3:AW33 AX3:AZ36">
    <cfRule type="cellIs" dxfId="12" priority="16" operator="between">
      <formula>8.50001</formula>
      <formula>9</formula>
    </cfRule>
  </conditionalFormatting>
  <conditionalFormatting sqref="C3:C33 D3:D36 E3:E33 F3:F36 G3:G33 H3:H36 I3:I33 J3:J36 K3:K33 L3:L36 M3:M33 N3:N36 O3:O33 P3:P36 Q3:Q33 R3:R36 S3:S33 T3:T36 U3:U33 V3:V36 W3:W33 X3:X36 Y3:Y33 Z3:Z36 AA3:AA33 AB3:AB36 AC3:AC33 AD3:AF36 AG3:AG33 AH3:AH36 AI3:AI33 AJ3:AJ36 AK3:AK33 AL3:AL36 AM3:AM33 AN3:AN36 AO3:AO33 AP3:AP36 AQ3:AQ33 AR3:AR36 AS3:AS33 AT3:AT36 AU3:AU33 AV3:AV36 AW3:AW33 AX3:AZ36">
    <cfRule type="cellIs" dxfId="1" priority="17" operator="greaterThan">
      <formula>9</formula>
    </cfRule>
  </conditionalFormatting>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11.57"/>
    <col customWidth="1" min="2" max="2" width="58.71"/>
    <col customWidth="1" min="3" max="3" width="16.43"/>
    <col customWidth="1" min="4" max="4" width="16.29"/>
    <col hidden="1" min="51" max="52" width="14.43"/>
  </cols>
  <sheetData>
    <row r="1" ht="45.0" customHeight="1">
      <c r="A1" s="1047"/>
      <c r="B1" s="1048"/>
      <c r="C1" s="1049" t="s">
        <v>452</v>
      </c>
      <c r="D1" s="311"/>
      <c r="E1" s="309" t="s">
        <v>517</v>
      </c>
      <c r="F1" s="311"/>
      <c r="G1" s="309" t="s">
        <v>513</v>
      </c>
      <c r="H1" s="311"/>
      <c r="I1" s="309" t="s">
        <v>510</v>
      </c>
      <c r="J1" s="311"/>
      <c r="K1" s="309" t="s">
        <v>580</v>
      </c>
      <c r="L1" s="311"/>
      <c r="M1" s="309" t="s">
        <v>581</v>
      </c>
      <c r="N1" s="311"/>
      <c r="O1" s="309" t="s">
        <v>515</v>
      </c>
      <c r="P1" s="311"/>
      <c r="Q1" s="309" t="s">
        <v>582</v>
      </c>
      <c r="R1" s="311"/>
      <c r="S1" s="309" t="s">
        <v>583</v>
      </c>
      <c r="T1" s="311"/>
      <c r="U1" s="309" t="s">
        <v>584</v>
      </c>
      <c r="V1" s="311"/>
      <c r="W1" s="309" t="s">
        <v>518</v>
      </c>
      <c r="X1" s="311"/>
      <c r="Y1" s="309" t="s">
        <v>585</v>
      </c>
      <c r="Z1" s="311"/>
      <c r="AA1" s="309" t="s">
        <v>528</v>
      </c>
      <c r="AB1" s="311"/>
      <c r="AC1" s="309" t="s">
        <v>526</v>
      </c>
      <c r="AD1" s="311"/>
      <c r="AE1" s="309" t="s">
        <v>522</v>
      </c>
      <c r="AF1" s="311"/>
      <c r="AG1" s="309" t="s">
        <v>586</v>
      </c>
      <c r="AH1" s="311"/>
      <c r="AI1" s="309" t="s">
        <v>587</v>
      </c>
      <c r="AJ1" s="311"/>
      <c r="AK1" s="309" t="s">
        <v>588</v>
      </c>
      <c r="AL1" s="311"/>
      <c r="AM1" s="309" t="s">
        <v>589</v>
      </c>
      <c r="AN1" s="311"/>
      <c r="AO1" s="309" t="s">
        <v>590</v>
      </c>
      <c r="AP1" s="311"/>
      <c r="AQ1" s="309" t="s">
        <v>591</v>
      </c>
      <c r="AR1" s="311"/>
      <c r="AS1" s="309" t="s">
        <v>519</v>
      </c>
      <c r="AT1" s="311"/>
      <c r="AU1" s="309" t="s">
        <v>592</v>
      </c>
      <c r="AV1" s="311"/>
      <c r="AW1" s="309" t="s">
        <v>593</v>
      </c>
      <c r="AX1" s="311"/>
      <c r="AY1" s="1050"/>
      <c r="AZ1" s="1050"/>
    </row>
    <row r="2" ht="45.0" customHeight="1">
      <c r="A2" s="1047"/>
      <c r="B2" s="1051" t="s">
        <v>594</v>
      </c>
      <c r="C2" s="1052" t="s">
        <v>27</v>
      </c>
      <c r="D2" s="1052" t="s">
        <v>4</v>
      </c>
      <c r="E2" s="1052" t="s">
        <v>27</v>
      </c>
      <c r="F2" s="1052" t="s">
        <v>4</v>
      </c>
      <c r="G2" s="1053" t="s">
        <v>27</v>
      </c>
      <c r="H2" s="1052" t="s">
        <v>4</v>
      </c>
      <c r="I2" s="1052" t="s">
        <v>27</v>
      </c>
      <c r="J2" s="1052" t="s">
        <v>4</v>
      </c>
      <c r="K2" s="1052" t="s">
        <v>27</v>
      </c>
      <c r="L2" s="1052" t="s">
        <v>4</v>
      </c>
      <c r="M2" s="1052" t="s">
        <v>27</v>
      </c>
      <c r="N2" s="1052" t="s">
        <v>4</v>
      </c>
      <c r="O2" s="1052" t="s">
        <v>27</v>
      </c>
      <c r="P2" s="1052" t="s">
        <v>4</v>
      </c>
      <c r="Q2" s="1052" t="s">
        <v>27</v>
      </c>
      <c r="R2" s="1052" t="s">
        <v>4</v>
      </c>
      <c r="S2" s="1052" t="s">
        <v>27</v>
      </c>
      <c r="T2" s="1052" t="s">
        <v>4</v>
      </c>
      <c r="U2" s="1052" t="s">
        <v>27</v>
      </c>
      <c r="V2" s="1052" t="s">
        <v>4</v>
      </c>
      <c r="W2" s="1052" t="s">
        <v>27</v>
      </c>
      <c r="X2" s="1052" t="s">
        <v>4</v>
      </c>
      <c r="Y2" s="1053" t="s">
        <v>27</v>
      </c>
      <c r="Z2" s="1052" t="s">
        <v>4</v>
      </c>
      <c r="AA2" s="1052" t="s">
        <v>27</v>
      </c>
      <c r="AB2" s="1052" t="s">
        <v>4</v>
      </c>
      <c r="AC2" s="1052" t="s">
        <v>27</v>
      </c>
      <c r="AD2" s="1052" t="s">
        <v>4</v>
      </c>
      <c r="AE2" s="1053" t="s">
        <v>27</v>
      </c>
      <c r="AF2" s="1052" t="s">
        <v>4</v>
      </c>
      <c r="AG2" s="1052" t="s">
        <v>27</v>
      </c>
      <c r="AH2" s="1052" t="s">
        <v>4</v>
      </c>
      <c r="AI2" s="1052" t="s">
        <v>27</v>
      </c>
      <c r="AJ2" s="1052" t="s">
        <v>4</v>
      </c>
      <c r="AK2" s="1052" t="s">
        <v>27</v>
      </c>
      <c r="AL2" s="1052" t="s">
        <v>4</v>
      </c>
      <c r="AM2" s="1052" t="s">
        <v>27</v>
      </c>
      <c r="AN2" s="1052" t="s">
        <v>4</v>
      </c>
      <c r="AO2" s="1052" t="s">
        <v>27</v>
      </c>
      <c r="AP2" s="1052" t="s">
        <v>4</v>
      </c>
      <c r="AQ2" s="1052" t="s">
        <v>27</v>
      </c>
      <c r="AR2" s="1052" t="s">
        <v>4</v>
      </c>
      <c r="AS2" s="1052" t="s">
        <v>27</v>
      </c>
      <c r="AT2" s="1052" t="s">
        <v>4</v>
      </c>
      <c r="AU2" s="1052" t="s">
        <v>27</v>
      </c>
      <c r="AV2" s="1052" t="s">
        <v>4</v>
      </c>
      <c r="AW2" s="1052" t="s">
        <v>27</v>
      </c>
      <c r="AX2" s="1052" t="s">
        <v>4</v>
      </c>
      <c r="AY2" s="1054"/>
      <c r="AZ2" s="1054"/>
    </row>
    <row r="3" ht="52.5" customHeight="1">
      <c r="A3" s="181" t="s">
        <v>29</v>
      </c>
      <c r="B3" s="1069" t="s">
        <v>30</v>
      </c>
      <c r="C3" s="329">
        <f>AVERAGE(D3:D6)</f>
        <v>7.807518116</v>
      </c>
      <c r="D3" s="326">
        <v>8.166666666666666</v>
      </c>
      <c r="E3" s="1056">
        <f>AVERAGE(F3:F6)</f>
        <v>8.090686275</v>
      </c>
      <c r="F3" s="330">
        <v>8.458333333333334</v>
      </c>
      <c r="G3" s="1057">
        <f>AVERAGE(H3:H6)</f>
        <v>7.85</v>
      </c>
      <c r="H3" s="1058">
        <v>8.12</v>
      </c>
      <c r="I3" s="1056">
        <f>AVERAGE(J3:J6)</f>
        <v>7.755</v>
      </c>
      <c r="J3" s="330">
        <v>7.33</v>
      </c>
      <c r="K3" s="1056">
        <f>AVERAGE(L3:L6)</f>
        <v>7.1725</v>
      </c>
      <c r="L3" s="330">
        <v>7.46</v>
      </c>
      <c r="M3" s="1056">
        <f>AVERAGE(N3:N6)</f>
        <v>7.4125</v>
      </c>
      <c r="N3" s="330">
        <v>7.29</v>
      </c>
      <c r="O3" s="1056">
        <f>AVERAGE(P3:P6)</f>
        <v>8.3375</v>
      </c>
      <c r="P3" s="330">
        <v>8.45</v>
      </c>
      <c r="Q3" s="1056">
        <f>AVERAGE(R3:R6)</f>
        <v>6.7775</v>
      </c>
      <c r="R3" s="330">
        <v>6.67</v>
      </c>
      <c r="S3" s="1056">
        <f>AVERAGE(T3:T6)</f>
        <v>6.525</v>
      </c>
      <c r="T3" s="330">
        <v>6.4</v>
      </c>
      <c r="U3" s="1056">
        <f>AVERAGE(V3:V6)</f>
        <v>6.875</v>
      </c>
      <c r="V3" s="330">
        <v>6.92</v>
      </c>
      <c r="W3" s="1056">
        <f>AVERAGE(X3:X6)</f>
        <v>6.6625</v>
      </c>
      <c r="X3" s="330">
        <v>6.67</v>
      </c>
      <c r="Y3" s="1056">
        <f>AVERAGE(Z3:Z6)</f>
        <v>7.6725</v>
      </c>
      <c r="Z3" s="330">
        <v>7.75</v>
      </c>
      <c r="AA3" s="1056">
        <f>AVERAGE(AB3:AB6)</f>
        <v>7.523351648</v>
      </c>
      <c r="AB3" s="1059">
        <v>7.071428571428571</v>
      </c>
      <c r="AC3" s="1056">
        <f>AVERAGE(AD3:AD6)</f>
        <v>6.975961538</v>
      </c>
      <c r="AD3" s="1059">
        <v>6.6923076923076925</v>
      </c>
      <c r="AE3" s="1056">
        <f>AVERAGE(AF3:AF6)</f>
        <v>6.677197802</v>
      </c>
      <c r="AF3" s="1059">
        <v>6.428571428571429</v>
      </c>
      <c r="AG3" s="1056">
        <f>AVERAGE(AH3:AH6)</f>
        <v>7.638541667</v>
      </c>
      <c r="AH3" s="1059">
        <v>7.3125</v>
      </c>
      <c r="AI3" s="1057">
        <f>AVERAGE(AJ3:AJ6)</f>
        <v>9.025</v>
      </c>
      <c r="AJ3" s="1060">
        <v>8.545454545454545</v>
      </c>
      <c r="AK3" s="1056">
        <f>AVERAGE(AL3:AL6)</f>
        <v>7.125</v>
      </c>
      <c r="AL3" s="1059">
        <v>7.4</v>
      </c>
      <c r="AM3" s="1056">
        <f>AVERAGE(AN3:AN6)</f>
        <v>7.490384615</v>
      </c>
      <c r="AN3" s="1059">
        <v>7.076923076923077</v>
      </c>
      <c r="AO3" s="1056">
        <f>AVERAGE(AP3:AP6)</f>
        <v>7.736928105</v>
      </c>
      <c r="AP3" s="1059">
        <v>7.833333333333333</v>
      </c>
      <c r="AQ3" s="1056">
        <f>AVERAGE(AR3:AR6)</f>
        <v>7</v>
      </c>
      <c r="AR3" s="1059">
        <v>6.833333333333333</v>
      </c>
      <c r="AS3" s="1056">
        <f>AVERAGE(AT3:AT6)</f>
        <v>8.1175</v>
      </c>
      <c r="AT3" s="330">
        <v>8.27</v>
      </c>
      <c r="AU3" s="1056">
        <f>AVERAGE(AV3:AV6)</f>
        <v>7.16</v>
      </c>
      <c r="AV3" s="330">
        <v>7.18</v>
      </c>
      <c r="AW3" s="1056">
        <f>AVERAGE(AX3:AX6)</f>
        <v>7.1375</v>
      </c>
      <c r="AX3" s="326">
        <v>7.27</v>
      </c>
      <c r="AY3" s="328"/>
      <c r="AZ3" s="328"/>
    </row>
    <row r="4" ht="52.5" customHeight="1">
      <c r="A4" s="61"/>
      <c r="B4" s="1070" t="s">
        <v>32</v>
      </c>
      <c r="C4" s="338"/>
      <c r="D4" s="326">
        <v>8.0</v>
      </c>
      <c r="E4" s="61"/>
      <c r="F4" s="330">
        <v>8.0</v>
      </c>
      <c r="G4" s="61"/>
      <c r="H4" s="1058">
        <v>6.88</v>
      </c>
      <c r="I4" s="61"/>
      <c r="J4" s="330">
        <v>8.56</v>
      </c>
      <c r="K4" s="61"/>
      <c r="L4" s="330">
        <v>6.92</v>
      </c>
      <c r="M4" s="61"/>
      <c r="N4" s="330">
        <v>7.07</v>
      </c>
      <c r="O4" s="61"/>
      <c r="P4" s="330">
        <v>8.45</v>
      </c>
      <c r="Q4" s="61"/>
      <c r="R4" s="330">
        <v>6.44</v>
      </c>
      <c r="S4" s="61"/>
      <c r="T4" s="330">
        <v>6.1</v>
      </c>
      <c r="U4" s="61"/>
      <c r="V4" s="330">
        <v>6.58</v>
      </c>
      <c r="W4" s="61"/>
      <c r="X4" s="330">
        <v>6.4</v>
      </c>
      <c r="Y4" s="61"/>
      <c r="Z4" s="330">
        <v>7.56</v>
      </c>
      <c r="AA4" s="61"/>
      <c r="AB4" s="1061">
        <v>7.714285714285714</v>
      </c>
      <c r="AC4" s="61"/>
      <c r="AD4" s="1061">
        <v>6.461538461538462</v>
      </c>
      <c r="AE4" s="61"/>
      <c r="AF4" s="1061">
        <v>6.357142857142857</v>
      </c>
      <c r="AG4" s="61"/>
      <c r="AH4" s="1061">
        <v>8.375</v>
      </c>
      <c r="AI4" s="61"/>
      <c r="AJ4" s="1062">
        <v>9.545454545454545</v>
      </c>
      <c r="AK4" s="61"/>
      <c r="AL4" s="1061">
        <v>6.6</v>
      </c>
      <c r="AM4" s="61"/>
      <c r="AN4" s="1061">
        <v>8.384615384615385</v>
      </c>
      <c r="AO4" s="61"/>
      <c r="AP4" s="1061">
        <v>7.055555555555555</v>
      </c>
      <c r="AQ4" s="61"/>
      <c r="AR4" s="1061">
        <v>6.666666666666667</v>
      </c>
      <c r="AS4" s="61"/>
      <c r="AT4" s="330">
        <v>8.73</v>
      </c>
      <c r="AU4" s="61"/>
      <c r="AV4" s="330">
        <v>6.73</v>
      </c>
      <c r="AW4" s="61"/>
      <c r="AX4" s="326">
        <v>6.73</v>
      </c>
      <c r="AY4" s="328"/>
      <c r="AZ4" s="328"/>
    </row>
    <row r="5" ht="52.5" customHeight="1">
      <c r="A5" s="61"/>
      <c r="B5" s="1070" t="s">
        <v>164</v>
      </c>
      <c r="C5" s="338"/>
      <c r="D5" s="326">
        <v>7.541666666666667</v>
      </c>
      <c r="E5" s="61"/>
      <c r="F5" s="330">
        <v>8.375</v>
      </c>
      <c r="G5" s="61"/>
      <c r="H5" s="1058">
        <v>8.94</v>
      </c>
      <c r="I5" s="61"/>
      <c r="J5" s="330">
        <v>8.0</v>
      </c>
      <c r="K5" s="61"/>
      <c r="L5" s="330">
        <v>6.62</v>
      </c>
      <c r="M5" s="61"/>
      <c r="N5" s="330">
        <v>7.5</v>
      </c>
      <c r="O5" s="61"/>
      <c r="P5" s="330">
        <v>8.18</v>
      </c>
      <c r="Q5" s="61"/>
      <c r="R5" s="330">
        <v>6.11</v>
      </c>
      <c r="S5" s="61"/>
      <c r="T5" s="330">
        <v>6.0</v>
      </c>
      <c r="U5" s="61"/>
      <c r="V5" s="330">
        <v>6.25</v>
      </c>
      <c r="W5" s="61"/>
      <c r="X5" s="330">
        <v>6.33</v>
      </c>
      <c r="Y5" s="61"/>
      <c r="Z5" s="330">
        <v>7.0</v>
      </c>
      <c r="AA5" s="61"/>
      <c r="AB5" s="1061">
        <v>7.076923076923077</v>
      </c>
      <c r="AC5" s="61"/>
      <c r="AD5" s="1061">
        <v>6.916666666666667</v>
      </c>
      <c r="AE5" s="61"/>
      <c r="AF5" s="1061">
        <v>6.538461538461538</v>
      </c>
      <c r="AG5" s="61"/>
      <c r="AH5" s="1061">
        <v>6.666666666666667</v>
      </c>
      <c r="AI5" s="61"/>
      <c r="AJ5" s="1062">
        <v>8.909090909090908</v>
      </c>
      <c r="AK5" s="61"/>
      <c r="AL5" s="1061">
        <v>6.857142857142857</v>
      </c>
      <c r="AM5" s="61"/>
      <c r="AN5" s="1061">
        <v>6.5</v>
      </c>
      <c r="AO5" s="61"/>
      <c r="AP5" s="1061">
        <v>7.529411764705882</v>
      </c>
      <c r="AQ5" s="61"/>
      <c r="AR5" s="1061">
        <v>6.833333333333333</v>
      </c>
      <c r="AS5" s="61"/>
      <c r="AT5" s="330">
        <v>7.36</v>
      </c>
      <c r="AU5" s="61"/>
      <c r="AV5" s="330">
        <v>6.64</v>
      </c>
      <c r="AW5" s="61"/>
      <c r="AX5" s="326">
        <v>6.82</v>
      </c>
      <c r="AY5" s="328"/>
      <c r="AZ5" s="328"/>
    </row>
    <row r="6" ht="52.5" customHeight="1">
      <c r="A6" s="69"/>
      <c r="B6" s="1070" t="s">
        <v>166</v>
      </c>
      <c r="C6" s="547"/>
      <c r="D6" s="326">
        <v>7.521739130434782</v>
      </c>
      <c r="E6" s="69"/>
      <c r="F6" s="330">
        <v>7.529411764705882</v>
      </c>
      <c r="G6" s="69"/>
      <c r="H6" s="1058">
        <v>7.46</v>
      </c>
      <c r="I6" s="69"/>
      <c r="J6" s="330">
        <v>7.13</v>
      </c>
      <c r="K6" s="69"/>
      <c r="L6" s="330">
        <v>7.69</v>
      </c>
      <c r="M6" s="69"/>
      <c r="N6" s="330">
        <v>7.79</v>
      </c>
      <c r="O6" s="69"/>
      <c r="P6" s="330">
        <v>8.27</v>
      </c>
      <c r="Q6" s="69"/>
      <c r="R6" s="330">
        <v>7.89</v>
      </c>
      <c r="S6" s="69"/>
      <c r="T6" s="330">
        <v>7.6</v>
      </c>
      <c r="U6" s="69"/>
      <c r="V6" s="330">
        <v>7.75</v>
      </c>
      <c r="W6" s="69"/>
      <c r="X6" s="330">
        <v>7.25</v>
      </c>
      <c r="Y6" s="69"/>
      <c r="Z6" s="330">
        <v>8.38</v>
      </c>
      <c r="AA6" s="69"/>
      <c r="AB6" s="1061">
        <v>8.23076923076923</v>
      </c>
      <c r="AC6" s="69"/>
      <c r="AD6" s="1061">
        <v>7.833333333333333</v>
      </c>
      <c r="AE6" s="69"/>
      <c r="AF6" s="1061">
        <v>7.384615384615385</v>
      </c>
      <c r="AG6" s="69"/>
      <c r="AH6" s="1061">
        <v>8.2</v>
      </c>
      <c r="AI6" s="69"/>
      <c r="AJ6" s="1062">
        <v>9.1</v>
      </c>
      <c r="AK6" s="69"/>
      <c r="AL6" s="1061">
        <v>7.642857142857143</v>
      </c>
      <c r="AM6" s="69"/>
      <c r="AN6" s="1061">
        <v>8.0</v>
      </c>
      <c r="AO6" s="69"/>
      <c r="AP6" s="1061">
        <v>8.529411764705882</v>
      </c>
      <c r="AQ6" s="69"/>
      <c r="AR6" s="1061">
        <v>7.666666666666667</v>
      </c>
      <c r="AS6" s="69"/>
      <c r="AT6" s="330">
        <v>8.11</v>
      </c>
      <c r="AU6" s="69"/>
      <c r="AV6" s="330">
        <v>8.09</v>
      </c>
      <c r="AW6" s="69"/>
      <c r="AX6" s="326">
        <v>7.73</v>
      </c>
      <c r="AY6" s="328"/>
      <c r="AZ6" s="328"/>
    </row>
    <row r="7" ht="52.5" customHeight="1">
      <c r="A7" s="209" t="s">
        <v>35</v>
      </c>
      <c r="B7" s="1071" t="s">
        <v>167</v>
      </c>
      <c r="C7" s="329">
        <f>AVERAGE(D7:D13)</f>
        <v>8.172877847</v>
      </c>
      <c r="D7" s="326">
        <v>8.347826086956522</v>
      </c>
      <c r="E7" s="1056">
        <f>AVERAGE(F7:F15)</f>
        <v>7.974472991</v>
      </c>
      <c r="F7" s="330">
        <v>8.565217391304348</v>
      </c>
      <c r="G7" s="1056">
        <f>AVERAGE(H7:H15)</f>
        <v>7.368888889</v>
      </c>
      <c r="H7" s="1058">
        <v>6.8</v>
      </c>
      <c r="I7" s="1056">
        <f>AVERAGE(J7:J15)</f>
        <v>7.788888889</v>
      </c>
      <c r="J7" s="330">
        <v>7.89</v>
      </c>
      <c r="K7" s="1056">
        <f>AVERAGE(L7:L15)</f>
        <v>7.887777778</v>
      </c>
      <c r="L7" s="330">
        <v>8.62</v>
      </c>
      <c r="M7" s="1056">
        <f>AVERAGE(N7:N15)</f>
        <v>8.005555556</v>
      </c>
      <c r="N7" s="330">
        <v>8.57</v>
      </c>
      <c r="O7" s="1056">
        <f>AVERAGE(P7:P15)</f>
        <v>8.353333333</v>
      </c>
      <c r="P7" s="330">
        <v>8.91</v>
      </c>
      <c r="Q7" s="1056">
        <f>AVERAGE(R7:R15)</f>
        <v>7.585555556</v>
      </c>
      <c r="R7" s="330">
        <v>7.38</v>
      </c>
      <c r="S7" s="1056">
        <f>AVERAGE(T7:T15)</f>
        <v>7.055555556</v>
      </c>
      <c r="T7" s="330">
        <v>6.8</v>
      </c>
      <c r="U7" s="1056">
        <f>AVERAGE(V7:V15)</f>
        <v>7.907777778</v>
      </c>
      <c r="V7" s="330">
        <v>8.08</v>
      </c>
      <c r="W7" s="1056">
        <f>AVERAGE(X7:X15)</f>
        <v>7.837777778</v>
      </c>
      <c r="X7" s="330">
        <v>7.93</v>
      </c>
      <c r="Y7" s="1056">
        <f>AVERAGE(Z7:Z15)</f>
        <v>8.296666667</v>
      </c>
      <c r="Z7" s="330">
        <v>8.88</v>
      </c>
      <c r="AA7" s="1056">
        <f>AVERAGE(AB7:AB15)</f>
        <v>8.303418803</v>
      </c>
      <c r="AB7" s="1061">
        <v>8.923076923076923</v>
      </c>
      <c r="AC7" s="1056">
        <f>AVERAGE(AD7:AD15)</f>
        <v>7.917378917</v>
      </c>
      <c r="AD7" s="1061">
        <v>8.0</v>
      </c>
      <c r="AE7" s="1056">
        <f>AVERAGE(AF7:AF15)</f>
        <v>8.087912088</v>
      </c>
      <c r="AF7" s="1061">
        <v>8.461538461538462</v>
      </c>
      <c r="AG7" s="1056">
        <f>AVERAGE(AH7:AH15)</f>
        <v>7.839550265</v>
      </c>
      <c r="AH7" s="1061">
        <v>8.0</v>
      </c>
      <c r="AI7" s="1057">
        <f>AVERAGE(AJ7:AJ15)</f>
        <v>8.502805836</v>
      </c>
      <c r="AJ7" s="1062">
        <v>9.181818181818182</v>
      </c>
      <c r="AK7" s="1056">
        <f>AVERAGE(AL7:AL15)</f>
        <v>7.507407407</v>
      </c>
      <c r="AL7" s="1061">
        <v>7.333333333333333</v>
      </c>
      <c r="AM7" s="1056">
        <f>AVERAGE(AN7:AN15)</f>
        <v>7.810670811</v>
      </c>
      <c r="AN7" s="1061">
        <v>7.7272727272727275</v>
      </c>
      <c r="AO7" s="1056">
        <f>AVERAGE(AP7:AP15)</f>
        <v>7.755628177</v>
      </c>
      <c r="AP7" s="1061">
        <v>7.9411764705882355</v>
      </c>
      <c r="AQ7" s="1056">
        <f>AVERAGE(AR7:AR15)</f>
        <v>7.623737374</v>
      </c>
      <c r="AR7" s="1061">
        <v>7.454545454545454</v>
      </c>
      <c r="AS7" s="1056">
        <f>AVERAGE(AT7:AT15)</f>
        <v>8.268888889</v>
      </c>
      <c r="AT7" s="330">
        <v>8.5</v>
      </c>
      <c r="AU7" s="1056">
        <f>AVERAGE(AV7:AV15)</f>
        <v>7.898888889</v>
      </c>
      <c r="AV7" s="330">
        <v>8.09</v>
      </c>
      <c r="AW7" s="1056">
        <f>AVERAGE(AX7:AX15)</f>
        <v>7.686666667</v>
      </c>
      <c r="AX7" s="326">
        <v>7.36</v>
      </c>
      <c r="AY7" s="328"/>
      <c r="AZ7" s="328"/>
    </row>
    <row r="8" ht="52.5" customHeight="1">
      <c r="A8" s="61"/>
      <c r="B8" s="1071" t="s">
        <v>37</v>
      </c>
      <c r="C8" s="338"/>
      <c r="D8" s="326">
        <v>8.291666666666666</v>
      </c>
      <c r="E8" s="61"/>
      <c r="F8" s="330">
        <v>8.590909090909092</v>
      </c>
      <c r="G8" s="61"/>
      <c r="H8" s="1058">
        <v>7.88</v>
      </c>
      <c r="I8" s="61"/>
      <c r="J8" s="330">
        <v>7.56</v>
      </c>
      <c r="K8" s="61"/>
      <c r="L8" s="330">
        <v>8.0</v>
      </c>
      <c r="M8" s="61"/>
      <c r="N8" s="330">
        <v>7.86</v>
      </c>
      <c r="O8" s="61"/>
      <c r="P8" s="330">
        <v>8.27</v>
      </c>
      <c r="Q8" s="61"/>
      <c r="R8" s="330">
        <v>7.44</v>
      </c>
      <c r="S8" s="61"/>
      <c r="T8" s="330">
        <v>6.9</v>
      </c>
      <c r="U8" s="61"/>
      <c r="V8" s="330">
        <v>7.5</v>
      </c>
      <c r="W8" s="61"/>
      <c r="X8" s="330">
        <v>8.67</v>
      </c>
      <c r="Y8" s="61"/>
      <c r="Z8" s="330">
        <v>8.63</v>
      </c>
      <c r="AA8" s="61"/>
      <c r="AB8" s="1061">
        <v>7.785714285714286</v>
      </c>
      <c r="AC8" s="61"/>
      <c r="AD8" s="1061">
        <v>7.333333333333333</v>
      </c>
      <c r="AE8" s="61"/>
      <c r="AF8" s="1061">
        <v>7.846153846153846</v>
      </c>
      <c r="AG8" s="61"/>
      <c r="AH8" s="1061">
        <v>7.642857142857143</v>
      </c>
      <c r="AI8" s="61"/>
      <c r="AJ8" s="1062">
        <v>8.818181818181818</v>
      </c>
      <c r="AK8" s="61"/>
      <c r="AL8" s="1061">
        <v>7.714285714285714</v>
      </c>
      <c r="AM8" s="61"/>
      <c r="AN8" s="1061">
        <v>7.818181818181818</v>
      </c>
      <c r="AO8" s="61"/>
      <c r="AP8" s="1061">
        <v>8.055555555555555</v>
      </c>
      <c r="AQ8" s="61"/>
      <c r="AR8" s="1061">
        <v>7.909090909090909</v>
      </c>
      <c r="AS8" s="61"/>
      <c r="AT8" s="330">
        <v>8.55</v>
      </c>
      <c r="AU8" s="61"/>
      <c r="AV8" s="330">
        <v>7.45</v>
      </c>
      <c r="AW8" s="61"/>
      <c r="AX8" s="326">
        <v>7.45</v>
      </c>
      <c r="AY8" s="328"/>
      <c r="AZ8" s="328"/>
    </row>
    <row r="9" ht="52.5" customHeight="1">
      <c r="A9" s="61"/>
      <c r="B9" s="1071" t="s">
        <v>47</v>
      </c>
      <c r="C9" s="338"/>
      <c r="D9" s="326">
        <v>8.5</v>
      </c>
      <c r="E9" s="61"/>
      <c r="F9" s="330">
        <v>8.130434782608695</v>
      </c>
      <c r="G9" s="61"/>
      <c r="H9" s="1058">
        <v>5.59</v>
      </c>
      <c r="I9" s="61"/>
      <c r="J9" s="330">
        <v>8.25</v>
      </c>
      <c r="K9" s="61"/>
      <c r="L9" s="330">
        <v>7.75</v>
      </c>
      <c r="M9" s="61"/>
      <c r="N9" s="330">
        <v>8.0</v>
      </c>
      <c r="O9" s="61"/>
      <c r="P9" s="330">
        <v>8.45</v>
      </c>
      <c r="Q9" s="61"/>
      <c r="R9" s="330">
        <v>7.0</v>
      </c>
      <c r="S9" s="61"/>
      <c r="T9" s="330">
        <v>5.9</v>
      </c>
      <c r="U9" s="61"/>
      <c r="V9" s="330">
        <v>8.83</v>
      </c>
      <c r="W9" s="61"/>
      <c r="X9" s="330">
        <v>7.87</v>
      </c>
      <c r="Y9" s="61"/>
      <c r="Z9" s="330">
        <v>7.88</v>
      </c>
      <c r="AA9" s="61"/>
      <c r="AB9" s="1061">
        <v>9.0</v>
      </c>
      <c r="AC9" s="61"/>
      <c r="AD9" s="1061">
        <v>8.153846153846153</v>
      </c>
      <c r="AE9" s="61"/>
      <c r="AF9" s="1061">
        <v>8.5</v>
      </c>
      <c r="AG9" s="61"/>
      <c r="AH9" s="1061">
        <v>7.133333333333334</v>
      </c>
      <c r="AI9" s="61"/>
      <c r="AJ9" s="1062">
        <v>8.777777777777779</v>
      </c>
      <c r="AK9" s="61"/>
      <c r="AL9" s="1061">
        <v>6.6</v>
      </c>
      <c r="AM9" s="61"/>
      <c r="AN9" s="1061">
        <v>6.636363636363637</v>
      </c>
      <c r="AO9" s="61"/>
      <c r="AP9" s="1061">
        <v>7.764705882352941</v>
      </c>
      <c r="AQ9" s="61"/>
      <c r="AR9" s="1061">
        <v>6.818181818181818</v>
      </c>
      <c r="AS9" s="61"/>
      <c r="AT9" s="330">
        <v>8.64</v>
      </c>
      <c r="AU9" s="61"/>
      <c r="AV9" s="330">
        <v>8.73</v>
      </c>
      <c r="AW9" s="61"/>
      <c r="AX9" s="326">
        <v>7.27</v>
      </c>
      <c r="AY9" s="328"/>
      <c r="AZ9" s="328"/>
    </row>
    <row r="10" ht="52.5" customHeight="1">
      <c r="A10" s="61"/>
      <c r="B10" s="1071" t="s">
        <v>67</v>
      </c>
      <c r="C10" s="338"/>
      <c r="D10" s="326">
        <v>7.875</v>
      </c>
      <c r="E10" s="61"/>
      <c r="F10" s="330">
        <v>7.958333333333333</v>
      </c>
      <c r="G10" s="61"/>
      <c r="H10" s="1058">
        <v>7.94</v>
      </c>
      <c r="I10" s="61"/>
      <c r="J10" s="330">
        <v>7.78</v>
      </c>
      <c r="K10" s="61"/>
      <c r="L10" s="330">
        <v>8.0</v>
      </c>
      <c r="M10" s="61"/>
      <c r="N10" s="330">
        <v>7.79</v>
      </c>
      <c r="O10" s="61"/>
      <c r="P10" s="330">
        <v>8.27</v>
      </c>
      <c r="Q10" s="61"/>
      <c r="R10" s="330">
        <v>7.78</v>
      </c>
      <c r="S10" s="61"/>
      <c r="T10" s="330">
        <v>7.2</v>
      </c>
      <c r="U10" s="61"/>
      <c r="V10" s="330">
        <v>7.92</v>
      </c>
      <c r="W10" s="61"/>
      <c r="X10" s="330">
        <v>8.4</v>
      </c>
      <c r="Y10" s="61"/>
      <c r="Z10" s="330">
        <v>8.33</v>
      </c>
      <c r="AA10" s="61"/>
      <c r="AB10" s="1061">
        <v>8.142857142857142</v>
      </c>
      <c r="AC10" s="61"/>
      <c r="AD10" s="1061">
        <v>8.0</v>
      </c>
      <c r="AE10" s="61"/>
      <c r="AF10" s="1061">
        <v>8.071428571428571</v>
      </c>
      <c r="AG10" s="61"/>
      <c r="AH10" s="1061">
        <v>7.75</v>
      </c>
      <c r="AI10" s="61"/>
      <c r="AJ10" s="1062">
        <v>8.454545454545455</v>
      </c>
      <c r="AK10" s="61"/>
      <c r="AL10" s="1061">
        <v>7.866666666666666</v>
      </c>
      <c r="AM10" s="61"/>
      <c r="AN10" s="1061">
        <v>7.923076923076923</v>
      </c>
      <c r="AO10" s="61"/>
      <c r="AP10" s="1061">
        <v>8.055555555555555</v>
      </c>
      <c r="AQ10" s="61"/>
      <c r="AR10" s="1061">
        <v>8.25</v>
      </c>
      <c r="AS10" s="61"/>
      <c r="AT10" s="330">
        <v>8.45</v>
      </c>
      <c r="AU10" s="61"/>
      <c r="AV10" s="330">
        <v>7.91</v>
      </c>
      <c r="AW10" s="61"/>
      <c r="AX10" s="326">
        <v>8.18</v>
      </c>
      <c r="AY10" s="328"/>
      <c r="AZ10" s="328"/>
    </row>
    <row r="11" ht="52.5" customHeight="1">
      <c r="A11" s="61"/>
      <c r="B11" s="1071" t="s">
        <v>172</v>
      </c>
      <c r="C11" s="338"/>
      <c r="D11" s="326">
        <v>8.416666666666666</v>
      </c>
      <c r="E11" s="61"/>
      <c r="F11" s="330">
        <v>8.333333333333334</v>
      </c>
      <c r="G11" s="61"/>
      <c r="H11" s="1058">
        <v>8.41</v>
      </c>
      <c r="I11" s="61"/>
      <c r="J11" s="330">
        <v>8.56</v>
      </c>
      <c r="K11" s="61"/>
      <c r="L11" s="330">
        <v>8.15</v>
      </c>
      <c r="M11" s="61"/>
      <c r="N11" s="330">
        <v>8.36</v>
      </c>
      <c r="O11" s="61"/>
      <c r="P11" s="330">
        <v>8.64</v>
      </c>
      <c r="Q11" s="61"/>
      <c r="R11" s="330">
        <v>8.29</v>
      </c>
      <c r="S11" s="61"/>
      <c r="T11" s="330">
        <v>7.9</v>
      </c>
      <c r="U11" s="61"/>
      <c r="V11" s="330">
        <v>8.0</v>
      </c>
      <c r="W11" s="61"/>
      <c r="X11" s="330">
        <v>7.87</v>
      </c>
      <c r="Y11" s="61"/>
      <c r="Z11" s="330">
        <v>8.5</v>
      </c>
      <c r="AA11" s="61"/>
      <c r="AB11" s="1061">
        <v>8.357142857142858</v>
      </c>
      <c r="AC11" s="61"/>
      <c r="AD11" s="1061">
        <v>8.461538461538462</v>
      </c>
      <c r="AE11" s="61"/>
      <c r="AF11" s="1061">
        <v>8.428571428571429</v>
      </c>
      <c r="AG11" s="61"/>
      <c r="AH11" s="1061">
        <v>8.4375</v>
      </c>
      <c r="AI11" s="61"/>
      <c r="AJ11" s="1062">
        <v>8.545454545454545</v>
      </c>
      <c r="AK11" s="61"/>
      <c r="AL11" s="1061">
        <v>8.0</v>
      </c>
      <c r="AM11" s="61"/>
      <c r="AN11" s="1061">
        <v>8.384615384615385</v>
      </c>
      <c r="AO11" s="61"/>
      <c r="AP11" s="1061">
        <v>7.388888888888889</v>
      </c>
      <c r="AQ11" s="61"/>
      <c r="AR11" s="1061">
        <v>8.416666666666666</v>
      </c>
      <c r="AS11" s="61"/>
      <c r="AT11" s="330">
        <v>8.45</v>
      </c>
      <c r="AU11" s="61"/>
      <c r="AV11" s="330">
        <v>7.82</v>
      </c>
      <c r="AW11" s="61"/>
      <c r="AX11" s="326">
        <v>7.91</v>
      </c>
      <c r="AY11" s="328"/>
      <c r="AZ11" s="328"/>
    </row>
    <row r="12" ht="52.5" customHeight="1">
      <c r="A12" s="61"/>
      <c r="B12" s="1071" t="s">
        <v>38</v>
      </c>
      <c r="C12" s="338"/>
      <c r="D12" s="326">
        <v>7.695652173913044</v>
      </c>
      <c r="E12" s="61"/>
      <c r="F12" s="330">
        <v>7.25</v>
      </c>
      <c r="G12" s="61"/>
      <c r="H12" s="1058">
        <v>7.69</v>
      </c>
      <c r="I12" s="61"/>
      <c r="J12" s="330">
        <v>7.75</v>
      </c>
      <c r="K12" s="61"/>
      <c r="L12" s="330">
        <v>7.62</v>
      </c>
      <c r="M12" s="61"/>
      <c r="N12" s="330">
        <v>7.71</v>
      </c>
      <c r="O12" s="61"/>
      <c r="P12" s="330">
        <v>8.0</v>
      </c>
      <c r="Q12" s="61"/>
      <c r="R12" s="330">
        <v>7.43</v>
      </c>
      <c r="S12" s="61"/>
      <c r="T12" s="330">
        <v>7.3</v>
      </c>
      <c r="U12" s="61"/>
      <c r="V12" s="330">
        <v>8.08</v>
      </c>
      <c r="W12" s="61"/>
      <c r="X12" s="330">
        <v>8.07</v>
      </c>
      <c r="Y12" s="61"/>
      <c r="Z12" s="330">
        <v>8.2</v>
      </c>
      <c r="AA12" s="61"/>
      <c r="AB12" s="1061">
        <v>8.0</v>
      </c>
      <c r="AC12" s="61"/>
      <c r="AD12" s="1061">
        <v>8.0</v>
      </c>
      <c r="AE12" s="61"/>
      <c r="AF12" s="1061">
        <v>8.428571428571429</v>
      </c>
      <c r="AG12" s="61"/>
      <c r="AH12" s="1061">
        <v>7.333333333333333</v>
      </c>
      <c r="AI12" s="61"/>
      <c r="AJ12" s="1062">
        <v>8.0</v>
      </c>
      <c r="AK12" s="61"/>
      <c r="AL12" s="1061">
        <v>6.866666666666666</v>
      </c>
      <c r="AM12" s="61"/>
      <c r="AN12" s="1061">
        <v>7.666666666666667</v>
      </c>
      <c r="AO12" s="61"/>
      <c r="AP12" s="1061">
        <v>7.944444444444445</v>
      </c>
      <c r="AQ12" s="61"/>
      <c r="AR12" s="1061">
        <v>7.083333333333333</v>
      </c>
      <c r="AS12" s="61"/>
      <c r="AT12" s="330">
        <v>7.91</v>
      </c>
      <c r="AU12" s="61"/>
      <c r="AV12" s="330">
        <v>7.64</v>
      </c>
      <c r="AW12" s="61"/>
      <c r="AX12" s="326">
        <v>7.55</v>
      </c>
      <c r="AY12" s="328"/>
      <c r="AZ12" s="328"/>
    </row>
    <row r="13" ht="52.5" customHeight="1">
      <c r="A13" s="69"/>
      <c r="B13" s="1071" t="s">
        <v>39</v>
      </c>
      <c r="C13" s="338"/>
      <c r="D13" s="326">
        <v>8.083333333333334</v>
      </c>
      <c r="E13" s="61"/>
      <c r="F13" s="330">
        <v>7.666666666666667</v>
      </c>
      <c r="G13" s="61"/>
      <c r="H13" s="1058">
        <v>7.65</v>
      </c>
      <c r="I13" s="61"/>
      <c r="J13" s="330">
        <v>7.56</v>
      </c>
      <c r="K13" s="61"/>
      <c r="L13" s="330">
        <v>7.85</v>
      </c>
      <c r="M13" s="61"/>
      <c r="N13" s="330">
        <v>8.0</v>
      </c>
      <c r="O13" s="61"/>
      <c r="P13" s="330">
        <v>8.55</v>
      </c>
      <c r="Q13" s="61"/>
      <c r="R13" s="330">
        <v>7.75</v>
      </c>
      <c r="S13" s="61"/>
      <c r="T13" s="330">
        <v>7.4</v>
      </c>
      <c r="U13" s="61"/>
      <c r="V13" s="330">
        <v>7.83</v>
      </c>
      <c r="W13" s="61"/>
      <c r="X13" s="330">
        <v>7.93</v>
      </c>
      <c r="Y13" s="61"/>
      <c r="Z13" s="330">
        <v>8.31</v>
      </c>
      <c r="AA13" s="61"/>
      <c r="AB13" s="1061">
        <v>8.214285714285714</v>
      </c>
      <c r="AC13" s="61"/>
      <c r="AD13" s="1061">
        <v>8.076923076923077</v>
      </c>
      <c r="AE13" s="61"/>
      <c r="AF13" s="1061">
        <v>8.285714285714286</v>
      </c>
      <c r="AG13" s="61"/>
      <c r="AH13" s="1061">
        <v>8.1875</v>
      </c>
      <c r="AI13" s="61"/>
      <c r="AJ13" s="1062">
        <v>8.272727272727273</v>
      </c>
      <c r="AK13" s="61"/>
      <c r="AL13" s="1061">
        <v>7.866666666666666</v>
      </c>
      <c r="AM13" s="61"/>
      <c r="AN13" s="1061">
        <v>8.23076923076923</v>
      </c>
      <c r="AO13" s="61"/>
      <c r="AP13" s="1061">
        <v>7.277777777777778</v>
      </c>
      <c r="AQ13" s="61"/>
      <c r="AR13" s="1061">
        <v>7.5</v>
      </c>
      <c r="AS13" s="61"/>
      <c r="AT13" s="330">
        <v>8.55</v>
      </c>
      <c r="AU13" s="61"/>
      <c r="AV13" s="330">
        <v>8.0</v>
      </c>
      <c r="AW13" s="61"/>
      <c r="AX13" s="326">
        <v>7.82</v>
      </c>
      <c r="AY13" s="328"/>
      <c r="AZ13" s="328"/>
    </row>
    <row r="14" ht="52.5" customHeight="1">
      <c r="A14" s="229" t="s">
        <v>42</v>
      </c>
      <c r="B14" s="1072" t="s">
        <v>41</v>
      </c>
      <c r="C14" s="329">
        <f>AVERAGE(D14:D18)</f>
        <v>8.00326087</v>
      </c>
      <c r="D14" s="326">
        <v>8.26086956521739</v>
      </c>
      <c r="E14" s="61"/>
      <c r="F14" s="330">
        <v>7.608695652173913</v>
      </c>
      <c r="G14" s="61"/>
      <c r="H14" s="1058">
        <v>7.18</v>
      </c>
      <c r="I14" s="61"/>
      <c r="J14" s="330">
        <v>7.0</v>
      </c>
      <c r="K14" s="61"/>
      <c r="L14" s="330">
        <v>7.23</v>
      </c>
      <c r="M14" s="61"/>
      <c r="N14" s="330">
        <v>7.62</v>
      </c>
      <c r="O14" s="61"/>
      <c r="P14" s="330">
        <v>7.82</v>
      </c>
      <c r="Q14" s="61"/>
      <c r="R14" s="330">
        <v>7.57</v>
      </c>
      <c r="S14" s="61"/>
      <c r="T14" s="330">
        <v>7.0</v>
      </c>
      <c r="U14" s="61"/>
      <c r="V14" s="330">
        <v>7.18</v>
      </c>
      <c r="W14" s="61"/>
      <c r="X14" s="330">
        <v>6.6</v>
      </c>
      <c r="Y14" s="61"/>
      <c r="Z14" s="330">
        <v>7.94</v>
      </c>
      <c r="AA14" s="61"/>
      <c r="AB14" s="1061">
        <v>8.0</v>
      </c>
      <c r="AC14" s="61"/>
      <c r="AD14" s="1061">
        <v>7.230769230769231</v>
      </c>
      <c r="AE14" s="61"/>
      <c r="AF14" s="1061">
        <v>7.076923076923077</v>
      </c>
      <c r="AG14" s="61"/>
      <c r="AH14" s="1061">
        <v>7.714285714285714</v>
      </c>
      <c r="AI14" s="61"/>
      <c r="AJ14" s="1062">
        <v>8.363636363636363</v>
      </c>
      <c r="AK14" s="61"/>
      <c r="AL14" s="1061">
        <v>7.533333333333333</v>
      </c>
      <c r="AM14" s="61"/>
      <c r="AN14" s="1061">
        <v>8.0</v>
      </c>
      <c r="AO14" s="61"/>
      <c r="AP14" s="1061">
        <v>7.666666666666667</v>
      </c>
      <c r="AQ14" s="61"/>
      <c r="AR14" s="1061">
        <v>7.2727272727272725</v>
      </c>
      <c r="AS14" s="61"/>
      <c r="AT14" s="330">
        <v>7.55</v>
      </c>
      <c r="AU14" s="61"/>
      <c r="AV14" s="330">
        <v>7.45</v>
      </c>
      <c r="AW14" s="61"/>
      <c r="AX14" s="326">
        <v>7.64</v>
      </c>
      <c r="AY14" s="328"/>
      <c r="AZ14" s="328"/>
    </row>
    <row r="15" ht="52.5" customHeight="1">
      <c r="A15" s="61"/>
      <c r="B15" s="1072" t="s">
        <v>43</v>
      </c>
      <c r="C15" s="338"/>
      <c r="D15" s="326">
        <v>8.375</v>
      </c>
      <c r="E15" s="69"/>
      <c r="F15" s="330">
        <v>7.666666666666667</v>
      </c>
      <c r="G15" s="69"/>
      <c r="H15" s="1058">
        <v>7.18</v>
      </c>
      <c r="I15" s="69"/>
      <c r="J15" s="330">
        <v>7.75</v>
      </c>
      <c r="K15" s="69"/>
      <c r="L15" s="330">
        <v>7.77</v>
      </c>
      <c r="M15" s="69"/>
      <c r="N15" s="330">
        <v>8.14</v>
      </c>
      <c r="O15" s="69"/>
      <c r="P15" s="330">
        <v>8.27</v>
      </c>
      <c r="Q15" s="69"/>
      <c r="R15" s="330">
        <v>7.63</v>
      </c>
      <c r="S15" s="69"/>
      <c r="T15" s="330">
        <v>7.1</v>
      </c>
      <c r="U15" s="69"/>
      <c r="V15" s="330">
        <v>7.75</v>
      </c>
      <c r="W15" s="69"/>
      <c r="X15" s="330">
        <v>7.2</v>
      </c>
      <c r="Y15" s="69"/>
      <c r="Z15" s="330">
        <v>8.0</v>
      </c>
      <c r="AA15" s="69"/>
      <c r="AB15" s="1061">
        <v>8.307692307692308</v>
      </c>
      <c r="AC15" s="69"/>
      <c r="AD15" s="1061">
        <v>8.0</v>
      </c>
      <c r="AE15" s="69"/>
      <c r="AF15" s="1061">
        <v>7.6923076923076925</v>
      </c>
      <c r="AG15" s="69"/>
      <c r="AH15" s="1061">
        <v>8.357142857142858</v>
      </c>
      <c r="AI15" s="69"/>
      <c r="AJ15" s="1062">
        <v>8.11111111111111</v>
      </c>
      <c r="AK15" s="69"/>
      <c r="AL15" s="1061">
        <v>7.785714285714286</v>
      </c>
      <c r="AM15" s="69"/>
      <c r="AN15" s="1061">
        <v>7.909090909090909</v>
      </c>
      <c r="AO15" s="69"/>
      <c r="AP15" s="1061">
        <v>7.705882352941177</v>
      </c>
      <c r="AQ15" s="69"/>
      <c r="AR15" s="1061">
        <v>7.909090909090909</v>
      </c>
      <c r="AS15" s="69"/>
      <c r="AT15" s="330">
        <v>7.82</v>
      </c>
      <c r="AU15" s="69"/>
      <c r="AV15" s="330">
        <v>8.0</v>
      </c>
      <c r="AW15" s="69"/>
      <c r="AX15" s="326">
        <v>8.0</v>
      </c>
      <c r="AY15" s="328"/>
      <c r="AZ15" s="328"/>
    </row>
    <row r="16" ht="52.5" customHeight="1">
      <c r="A16" s="61"/>
      <c r="B16" s="1072" t="s">
        <v>175</v>
      </c>
      <c r="C16" s="338"/>
      <c r="D16" s="326">
        <v>7.608695652173913</v>
      </c>
      <c r="E16" s="1056">
        <f>AVERAGE(F16:F20)</f>
        <v>8.081521739</v>
      </c>
      <c r="F16" s="330">
        <v>8.541666666666666</v>
      </c>
      <c r="G16" s="1056">
        <f>AVERAGE(H16:H20)</f>
        <v>7.672</v>
      </c>
      <c r="H16" s="1058">
        <v>7.65</v>
      </c>
      <c r="I16" s="1056">
        <f>AVERAGE(J16:J20)</f>
        <v>7.266</v>
      </c>
      <c r="J16" s="330">
        <v>7.88</v>
      </c>
      <c r="K16" s="1056">
        <f>AVERAGE(L16:L20)</f>
        <v>8.076</v>
      </c>
      <c r="L16" s="330">
        <v>8.46</v>
      </c>
      <c r="M16" s="1056">
        <f>AVERAGE(N16:N20)</f>
        <v>7.882</v>
      </c>
      <c r="N16" s="330">
        <v>8.5</v>
      </c>
      <c r="O16" s="1056">
        <f>AVERAGE(P16:P20)</f>
        <v>8.292</v>
      </c>
      <c r="P16" s="330">
        <v>9.09</v>
      </c>
      <c r="Q16" s="1056">
        <f>AVERAGE(R16:R20)</f>
        <v>7.002</v>
      </c>
      <c r="R16" s="330">
        <v>7.25</v>
      </c>
      <c r="S16" s="1056">
        <f>AVERAGE(T16:T20)</f>
        <v>6.816</v>
      </c>
      <c r="T16" s="330">
        <v>7.0</v>
      </c>
      <c r="U16" s="1056">
        <f>AVERAGE(V16:V20)</f>
        <v>7.054</v>
      </c>
      <c r="V16" s="330">
        <v>7.42</v>
      </c>
      <c r="W16" s="1056">
        <f>AVERAGE(X16:X20)</f>
        <v>7.856</v>
      </c>
      <c r="X16" s="330">
        <v>8.0</v>
      </c>
      <c r="Y16" s="1056">
        <f>AVERAGE(Z16:Z20)</f>
        <v>8.376</v>
      </c>
      <c r="Z16" s="330">
        <v>8.81</v>
      </c>
      <c r="AA16" s="1056">
        <f>AVERAGE(AB16:AB20)</f>
        <v>8.065934066</v>
      </c>
      <c r="AB16" s="1061">
        <v>8.857142857142858</v>
      </c>
      <c r="AC16" s="1056">
        <f>AVERAGE(AD16:AD20)</f>
        <v>7.778205128</v>
      </c>
      <c r="AD16" s="1061">
        <v>8.0</v>
      </c>
      <c r="AE16" s="1056">
        <f>AVERAGE(AF16:AF20)</f>
        <v>7.553846154</v>
      </c>
      <c r="AF16" s="1061">
        <v>8.142857142857142</v>
      </c>
      <c r="AG16" s="1056">
        <f>AVERAGE(AH16:AH20)</f>
        <v>7.5725</v>
      </c>
      <c r="AH16" s="1061">
        <v>8.0</v>
      </c>
      <c r="AI16" s="1056">
        <f>AVERAGE(AJ16:AJ20)</f>
        <v>8.696363636</v>
      </c>
      <c r="AJ16" s="1062">
        <v>9.181818181818182</v>
      </c>
      <c r="AK16" s="1056">
        <f>AVERAGE(AL16:AL20)</f>
        <v>7.516190476</v>
      </c>
      <c r="AL16" s="1061">
        <v>7.4</v>
      </c>
      <c r="AM16" s="1056">
        <f>AVERAGE(AN16:AN20)</f>
        <v>7.361188811</v>
      </c>
      <c r="AN16" s="1061">
        <v>7.6923076923076925</v>
      </c>
      <c r="AO16" s="1056">
        <f>AVERAGE(AP16:AP20)</f>
        <v>8.232026144</v>
      </c>
      <c r="AP16" s="1061">
        <v>7.944444444444445</v>
      </c>
      <c r="AQ16" s="1056">
        <f>AVERAGE(AR16:AR20)</f>
        <v>7.271212121</v>
      </c>
      <c r="AR16" s="1061">
        <v>7.833333333333333</v>
      </c>
      <c r="AS16" s="1056">
        <f>AVERAGE(AT16:AT20)</f>
        <v>8.218</v>
      </c>
      <c r="AT16" s="330">
        <v>8.82</v>
      </c>
      <c r="AU16" s="1056">
        <f>AVERAGE(AV16:AV20)</f>
        <v>7.42</v>
      </c>
      <c r="AV16" s="330">
        <v>8.0</v>
      </c>
      <c r="AW16" s="1056">
        <f>AVERAGE(AX16:AX20)</f>
        <v>7.728</v>
      </c>
      <c r="AX16" s="326">
        <v>7.73</v>
      </c>
      <c r="AY16" s="328"/>
      <c r="AZ16" s="328"/>
    </row>
    <row r="17" ht="52.5" customHeight="1">
      <c r="A17" s="61"/>
      <c r="B17" s="1072" t="s">
        <v>45</v>
      </c>
      <c r="C17" s="338"/>
      <c r="D17" s="326">
        <v>7.521739130434782</v>
      </c>
      <c r="E17" s="61"/>
      <c r="F17" s="330">
        <v>7.875</v>
      </c>
      <c r="G17" s="61"/>
      <c r="H17" s="1058">
        <v>7.71</v>
      </c>
      <c r="I17" s="61"/>
      <c r="J17" s="330">
        <v>6.88</v>
      </c>
      <c r="K17" s="61"/>
      <c r="L17" s="330">
        <v>8.0</v>
      </c>
      <c r="M17" s="61"/>
      <c r="N17" s="330">
        <v>7.57</v>
      </c>
      <c r="O17" s="61"/>
      <c r="P17" s="330">
        <v>8.18</v>
      </c>
      <c r="Q17" s="61"/>
      <c r="R17" s="330">
        <v>6.75</v>
      </c>
      <c r="S17" s="61"/>
      <c r="T17" s="330">
        <v>6.9</v>
      </c>
      <c r="U17" s="61"/>
      <c r="V17" s="330">
        <v>7.08</v>
      </c>
      <c r="W17" s="61"/>
      <c r="X17" s="330">
        <v>8.27</v>
      </c>
      <c r="Y17" s="61"/>
      <c r="Z17" s="330">
        <v>8.63</v>
      </c>
      <c r="AA17" s="61"/>
      <c r="AB17" s="1061">
        <v>8.0</v>
      </c>
      <c r="AC17" s="61"/>
      <c r="AD17" s="1061">
        <v>7.833333333333333</v>
      </c>
      <c r="AE17" s="61"/>
      <c r="AF17" s="1061">
        <v>7.538461538461538</v>
      </c>
      <c r="AG17" s="61"/>
      <c r="AH17" s="1061">
        <v>7.666666666666667</v>
      </c>
      <c r="AI17" s="61"/>
      <c r="AJ17" s="1062">
        <v>8.818181818181818</v>
      </c>
      <c r="AK17" s="61"/>
      <c r="AL17" s="1061">
        <v>7.571428571428571</v>
      </c>
      <c r="AM17" s="61"/>
      <c r="AN17" s="1061">
        <v>7.583333333333333</v>
      </c>
      <c r="AO17" s="61"/>
      <c r="AP17" s="1061">
        <v>7.882352941176471</v>
      </c>
      <c r="AQ17" s="61"/>
      <c r="AR17" s="1061">
        <v>7.25</v>
      </c>
      <c r="AS17" s="61"/>
      <c r="AT17" s="330">
        <v>8.36</v>
      </c>
      <c r="AU17" s="61"/>
      <c r="AV17" s="330">
        <v>7.55</v>
      </c>
      <c r="AW17" s="61"/>
      <c r="AX17" s="326">
        <v>8.09</v>
      </c>
      <c r="AY17" s="1063"/>
      <c r="AZ17" s="1063"/>
    </row>
    <row r="18" ht="52.5" customHeight="1">
      <c r="A18" s="69"/>
      <c r="B18" s="1072" t="s">
        <v>46</v>
      </c>
      <c r="C18" s="338"/>
      <c r="D18" s="326">
        <v>8.25</v>
      </c>
      <c r="E18" s="61"/>
      <c r="F18" s="330">
        <v>7.583333333333333</v>
      </c>
      <c r="G18" s="61"/>
      <c r="H18" s="1058">
        <v>7.88</v>
      </c>
      <c r="I18" s="61"/>
      <c r="J18" s="330">
        <v>6.88</v>
      </c>
      <c r="K18" s="61"/>
      <c r="L18" s="330">
        <v>7.92</v>
      </c>
      <c r="M18" s="61"/>
      <c r="N18" s="330">
        <v>7.38</v>
      </c>
      <c r="O18" s="61"/>
      <c r="P18" s="330">
        <v>7.73</v>
      </c>
      <c r="Q18" s="61"/>
      <c r="R18" s="330">
        <v>6.75</v>
      </c>
      <c r="S18" s="61"/>
      <c r="T18" s="330">
        <v>6.6</v>
      </c>
      <c r="U18" s="61"/>
      <c r="V18" s="330">
        <v>6.67</v>
      </c>
      <c r="W18" s="61"/>
      <c r="X18" s="330">
        <v>7.47</v>
      </c>
      <c r="Y18" s="61"/>
      <c r="Z18" s="330">
        <v>8.0</v>
      </c>
      <c r="AA18" s="61"/>
      <c r="AB18" s="1061">
        <v>7.357142857142857</v>
      </c>
      <c r="AC18" s="61"/>
      <c r="AD18" s="1061">
        <v>7.3076923076923075</v>
      </c>
      <c r="AE18" s="61"/>
      <c r="AF18" s="1061">
        <v>7.0</v>
      </c>
      <c r="AG18" s="61"/>
      <c r="AH18" s="1061">
        <v>7.0625</v>
      </c>
      <c r="AI18" s="61"/>
      <c r="AJ18" s="1062">
        <v>8.272727272727273</v>
      </c>
      <c r="AK18" s="61"/>
      <c r="AL18" s="1061">
        <v>7.466666666666667</v>
      </c>
      <c r="AM18" s="61"/>
      <c r="AN18" s="1061">
        <v>7.0</v>
      </c>
      <c r="AO18" s="61"/>
      <c r="AP18" s="1061">
        <v>9.0</v>
      </c>
      <c r="AQ18" s="61"/>
      <c r="AR18" s="1061">
        <v>6.916666666666667</v>
      </c>
      <c r="AS18" s="61"/>
      <c r="AT18" s="330">
        <v>7.73</v>
      </c>
      <c r="AU18" s="61"/>
      <c r="AV18" s="330">
        <v>6.73</v>
      </c>
      <c r="AW18" s="61"/>
      <c r="AX18" s="326">
        <v>7.73</v>
      </c>
      <c r="AY18" s="328"/>
      <c r="AZ18" s="328"/>
    </row>
    <row r="19" ht="52.5" customHeight="1">
      <c r="A19" s="249" t="s">
        <v>49</v>
      </c>
      <c r="B19" s="1073" t="s">
        <v>50</v>
      </c>
      <c r="C19" s="329">
        <f>AVERAGE(D19:D21)</f>
        <v>8.223429952</v>
      </c>
      <c r="D19" s="326">
        <v>8.125</v>
      </c>
      <c r="E19" s="61"/>
      <c r="F19" s="330">
        <v>7.782608695652174</v>
      </c>
      <c r="G19" s="61"/>
      <c r="H19" s="1058">
        <v>7.94</v>
      </c>
      <c r="I19" s="61"/>
      <c r="J19" s="330">
        <v>6.83</v>
      </c>
      <c r="K19" s="61"/>
      <c r="L19" s="330">
        <v>8.08</v>
      </c>
      <c r="M19" s="61"/>
      <c r="N19" s="330">
        <v>7.42</v>
      </c>
      <c r="O19" s="61"/>
      <c r="P19" s="330">
        <v>7.82</v>
      </c>
      <c r="Q19" s="61"/>
      <c r="R19" s="330">
        <v>7.38</v>
      </c>
      <c r="S19" s="61"/>
      <c r="T19" s="330">
        <v>6.8</v>
      </c>
      <c r="U19" s="61"/>
      <c r="V19" s="330">
        <v>6.83</v>
      </c>
      <c r="W19" s="61"/>
      <c r="X19" s="330">
        <v>7.67</v>
      </c>
      <c r="Y19" s="61"/>
      <c r="Z19" s="330">
        <v>7.88</v>
      </c>
      <c r="AA19" s="61"/>
      <c r="AB19" s="1061">
        <v>7.615384615384615</v>
      </c>
      <c r="AC19" s="61"/>
      <c r="AD19" s="1061">
        <v>7.75</v>
      </c>
      <c r="AE19" s="61"/>
      <c r="AF19" s="1061">
        <v>7.230769230769231</v>
      </c>
      <c r="AG19" s="61"/>
      <c r="AH19" s="1061">
        <v>7.2</v>
      </c>
      <c r="AI19" s="61"/>
      <c r="AJ19" s="1062">
        <v>8.3</v>
      </c>
      <c r="AK19" s="61"/>
      <c r="AL19" s="1061">
        <v>7.571428571428571</v>
      </c>
      <c r="AM19" s="61"/>
      <c r="AN19" s="1061">
        <v>7.166666666666667</v>
      </c>
      <c r="AO19" s="61"/>
      <c r="AP19" s="1061">
        <v>8.61111111111111</v>
      </c>
      <c r="AQ19" s="61"/>
      <c r="AR19" s="1061">
        <v>7.083333333333333</v>
      </c>
      <c r="AS19" s="61"/>
      <c r="AT19" s="330">
        <v>7.82</v>
      </c>
      <c r="AU19" s="61"/>
      <c r="AV19" s="330">
        <v>7.09</v>
      </c>
      <c r="AW19" s="61"/>
      <c r="AX19" s="326">
        <v>7.64</v>
      </c>
      <c r="AY19" s="328"/>
      <c r="AZ19" s="328"/>
    </row>
    <row r="20" ht="52.5" customHeight="1">
      <c r="A20" s="61"/>
      <c r="B20" s="1073" t="s">
        <v>51</v>
      </c>
      <c r="C20" s="338"/>
      <c r="D20" s="326">
        <v>8.458333333333334</v>
      </c>
      <c r="E20" s="69"/>
      <c r="F20" s="330">
        <v>8.625</v>
      </c>
      <c r="G20" s="69"/>
      <c r="H20" s="1058">
        <v>7.18</v>
      </c>
      <c r="I20" s="69"/>
      <c r="J20" s="330">
        <v>7.86</v>
      </c>
      <c r="K20" s="69"/>
      <c r="L20" s="330">
        <v>7.92</v>
      </c>
      <c r="M20" s="69"/>
      <c r="N20" s="330">
        <v>8.54</v>
      </c>
      <c r="O20" s="69"/>
      <c r="P20" s="330">
        <v>8.64</v>
      </c>
      <c r="Q20" s="69"/>
      <c r="R20" s="330">
        <v>6.88</v>
      </c>
      <c r="S20" s="69"/>
      <c r="T20" s="330">
        <v>6.78</v>
      </c>
      <c r="U20" s="69"/>
      <c r="V20" s="330">
        <v>7.27</v>
      </c>
      <c r="W20" s="69"/>
      <c r="X20" s="330">
        <v>7.87</v>
      </c>
      <c r="Y20" s="69"/>
      <c r="Z20" s="330">
        <v>8.56</v>
      </c>
      <c r="AA20" s="69"/>
      <c r="AB20" s="1061">
        <v>8.5</v>
      </c>
      <c r="AC20" s="69"/>
      <c r="AD20" s="1061">
        <v>8.0</v>
      </c>
      <c r="AE20" s="69"/>
      <c r="AF20" s="1061">
        <v>7.857142857142857</v>
      </c>
      <c r="AG20" s="69"/>
      <c r="AH20" s="1061">
        <v>7.933333333333334</v>
      </c>
      <c r="AI20" s="69"/>
      <c r="AJ20" s="1062">
        <v>8.909090909090908</v>
      </c>
      <c r="AK20" s="69"/>
      <c r="AL20" s="1061">
        <v>7.571428571428571</v>
      </c>
      <c r="AM20" s="69"/>
      <c r="AN20" s="1061">
        <v>7.363636363636363</v>
      </c>
      <c r="AO20" s="69"/>
      <c r="AP20" s="1061">
        <v>7.722222222222222</v>
      </c>
      <c r="AQ20" s="69"/>
      <c r="AR20" s="1061">
        <v>7.2727272727272725</v>
      </c>
      <c r="AS20" s="69"/>
      <c r="AT20" s="330">
        <v>8.36</v>
      </c>
      <c r="AU20" s="69"/>
      <c r="AV20" s="330">
        <v>7.73</v>
      </c>
      <c r="AW20" s="69"/>
      <c r="AX20" s="326">
        <v>7.45</v>
      </c>
      <c r="AY20" s="328"/>
      <c r="AZ20" s="328"/>
    </row>
    <row r="21" ht="52.5" customHeight="1">
      <c r="A21" s="69"/>
      <c r="B21" s="1073" t="s">
        <v>53</v>
      </c>
      <c r="C21" s="338"/>
      <c r="D21" s="326">
        <v>8.08695652173913</v>
      </c>
      <c r="E21" s="1056">
        <f>AVERAGE(F21:F25)</f>
        <v>8.125</v>
      </c>
      <c r="F21" s="330">
        <v>8.75</v>
      </c>
      <c r="G21" s="1056">
        <f>AVERAGE(H21:H25)</f>
        <v>8.166</v>
      </c>
      <c r="H21" s="1058">
        <v>8.47</v>
      </c>
      <c r="I21" s="1056">
        <f>AVERAGE(J21:J25)</f>
        <v>7.822</v>
      </c>
      <c r="J21" s="330">
        <v>8.0</v>
      </c>
      <c r="K21" s="1056">
        <f>AVERAGE(L21:L25)</f>
        <v>8.494</v>
      </c>
      <c r="L21" s="330">
        <v>8.85</v>
      </c>
      <c r="M21" s="1056">
        <f>AVERAGE(N21:N25)</f>
        <v>8.63</v>
      </c>
      <c r="N21" s="330">
        <v>8.64</v>
      </c>
      <c r="O21" s="1056">
        <f>AVERAGE(P21:P25)</f>
        <v>8.528</v>
      </c>
      <c r="P21" s="330">
        <v>9.0</v>
      </c>
      <c r="Q21" s="1056">
        <f>AVERAGE(R21:R25)</f>
        <v>7.956</v>
      </c>
      <c r="R21" s="330">
        <v>7.89</v>
      </c>
      <c r="S21" s="1056">
        <f>AVERAGE(T21:T25)</f>
        <v>8.02</v>
      </c>
      <c r="T21" s="330">
        <v>8.2</v>
      </c>
      <c r="U21" s="1056">
        <f>AVERAGE(V21:V25)</f>
        <v>7.784</v>
      </c>
      <c r="V21" s="330">
        <v>8.17</v>
      </c>
      <c r="W21" s="1056">
        <f>AVERAGE(X21:X25)</f>
        <v>8.358434783</v>
      </c>
      <c r="X21" s="330">
        <v>8.6</v>
      </c>
      <c r="Y21" s="1057">
        <f>AVERAGE(Z21:Z25)</f>
        <v>8.638</v>
      </c>
      <c r="Z21" s="330">
        <v>9.0</v>
      </c>
      <c r="AA21" s="1056">
        <f>AVERAGE(AB21:AB25)</f>
        <v>8.463736264</v>
      </c>
      <c r="AB21" s="1061">
        <v>8.642857142857142</v>
      </c>
      <c r="AC21" s="1056">
        <f>AVERAGE(AD21:AD25)</f>
        <v>8.215384615</v>
      </c>
      <c r="AD21" s="1061">
        <v>8.384615384615385</v>
      </c>
      <c r="AE21" s="1056">
        <f>AVERAGE(AF21:AF25)</f>
        <v>7.620879121</v>
      </c>
      <c r="AF21" s="1061">
        <v>7.357142857142857</v>
      </c>
      <c r="AG21" s="1056">
        <f>AVERAGE(AH21:AH25)</f>
        <v>8.046428571</v>
      </c>
      <c r="AH21" s="1061">
        <v>8.125</v>
      </c>
      <c r="AI21" s="1056">
        <f>AVERAGE(AJ21:AJ25)</f>
        <v>7.933333333</v>
      </c>
      <c r="AJ21" s="1062">
        <v>8.090909090909092</v>
      </c>
      <c r="AK21" s="1056">
        <f>AVERAGE(AL21:AL25)</f>
        <v>8.015238095</v>
      </c>
      <c r="AL21" s="1061">
        <v>8.066666666666666</v>
      </c>
      <c r="AM21" s="1056">
        <f>AVERAGE(AN21:AN25)</f>
        <v>7.86993007</v>
      </c>
      <c r="AN21" s="1061">
        <v>8.0</v>
      </c>
      <c r="AO21" s="1056">
        <f>AVERAGE(AP21:AP25)</f>
        <v>8.307189542</v>
      </c>
      <c r="AP21" s="1061">
        <v>8.777777777777779</v>
      </c>
      <c r="AQ21" s="1056">
        <f>AVERAGE(AR21:AR25)</f>
        <v>8.578787879</v>
      </c>
      <c r="AR21" s="1061">
        <v>8.75</v>
      </c>
      <c r="AS21" s="1056">
        <f>AVERAGE(AT21:AT25)</f>
        <v>8.656</v>
      </c>
      <c r="AT21" s="330">
        <v>8.64</v>
      </c>
      <c r="AU21" s="1056">
        <f>AVERAGE(AV21:AV25)</f>
        <v>7.926</v>
      </c>
      <c r="AV21" s="330">
        <v>8.27</v>
      </c>
      <c r="AW21" s="1056">
        <f>AVERAGE(AX21:AX25)</f>
        <v>8.82</v>
      </c>
      <c r="AX21" s="326">
        <v>9.09</v>
      </c>
      <c r="AY21" s="1063"/>
      <c r="AZ21" s="1063"/>
    </row>
    <row r="22" ht="52.5" customHeight="1">
      <c r="A22" s="261" t="s">
        <v>54</v>
      </c>
      <c r="B22" s="1074" t="s">
        <v>168</v>
      </c>
      <c r="C22" s="329">
        <f>AVERAGE(D22:D28)</f>
        <v>7.684160146</v>
      </c>
      <c r="D22" s="326">
        <v>8.047619047619047</v>
      </c>
      <c r="E22" s="61"/>
      <c r="F22" s="330">
        <v>7.333333333333333</v>
      </c>
      <c r="G22" s="61"/>
      <c r="H22" s="1058">
        <v>8.71</v>
      </c>
      <c r="I22" s="61"/>
      <c r="J22" s="330">
        <v>8.22</v>
      </c>
      <c r="K22" s="61"/>
      <c r="L22" s="330">
        <v>8.46</v>
      </c>
      <c r="M22" s="61"/>
      <c r="N22" s="330">
        <v>8.5</v>
      </c>
      <c r="O22" s="61"/>
      <c r="P22" s="330">
        <v>8.91</v>
      </c>
      <c r="Q22" s="61"/>
      <c r="R22" s="330">
        <v>9.0</v>
      </c>
      <c r="S22" s="61"/>
      <c r="T22" s="330">
        <v>8.2</v>
      </c>
      <c r="U22" s="61"/>
      <c r="V22" s="330">
        <v>7.67</v>
      </c>
      <c r="W22" s="61"/>
      <c r="X22" s="330">
        <v>8.67</v>
      </c>
      <c r="Y22" s="61"/>
      <c r="Z22" s="330">
        <v>9.0</v>
      </c>
      <c r="AA22" s="61"/>
      <c r="AB22" s="1061">
        <v>9.142857142857142</v>
      </c>
      <c r="AC22" s="61"/>
      <c r="AD22" s="1061">
        <v>8.692307692307692</v>
      </c>
      <c r="AE22" s="61"/>
      <c r="AF22" s="1061">
        <v>8.642857142857142</v>
      </c>
      <c r="AG22" s="61"/>
      <c r="AH22" s="1061">
        <v>8.875</v>
      </c>
      <c r="AI22" s="61"/>
      <c r="AJ22" s="1062">
        <v>8.454545454545455</v>
      </c>
      <c r="AK22" s="61"/>
      <c r="AL22" s="1061">
        <v>8.2</v>
      </c>
      <c r="AM22" s="61"/>
      <c r="AN22" s="1061">
        <v>8.692307692307692</v>
      </c>
      <c r="AO22" s="61"/>
      <c r="AP22" s="1061">
        <v>8.38888888888889</v>
      </c>
      <c r="AQ22" s="61"/>
      <c r="AR22" s="1061">
        <v>9.0</v>
      </c>
      <c r="AS22" s="61"/>
      <c r="AT22" s="330">
        <v>9.0</v>
      </c>
      <c r="AU22" s="61"/>
      <c r="AV22" s="330">
        <v>8.36</v>
      </c>
      <c r="AW22" s="61"/>
      <c r="AX22" s="326">
        <v>8.73</v>
      </c>
      <c r="AY22" s="328"/>
      <c r="AZ22" s="328"/>
    </row>
    <row r="23" ht="52.5" customHeight="1">
      <c r="A23" s="61"/>
      <c r="B23" s="1074" t="s">
        <v>183</v>
      </c>
      <c r="C23" s="338"/>
      <c r="D23" s="326">
        <v>7.590909090909091</v>
      </c>
      <c r="E23" s="61"/>
      <c r="F23" s="330">
        <v>8.041666666666666</v>
      </c>
      <c r="G23" s="61"/>
      <c r="H23" s="1058">
        <v>7.65</v>
      </c>
      <c r="I23" s="61"/>
      <c r="J23" s="330">
        <v>7.44</v>
      </c>
      <c r="K23" s="61"/>
      <c r="L23" s="330">
        <v>7.85</v>
      </c>
      <c r="M23" s="61"/>
      <c r="N23" s="330">
        <v>8.29</v>
      </c>
      <c r="O23" s="61"/>
      <c r="P23" s="330">
        <v>7.64</v>
      </c>
      <c r="Q23" s="61"/>
      <c r="R23" s="330">
        <v>7.22</v>
      </c>
      <c r="S23" s="61"/>
      <c r="T23" s="330">
        <v>7.4</v>
      </c>
      <c r="U23" s="61"/>
      <c r="V23" s="330">
        <v>7.58</v>
      </c>
      <c r="W23" s="61"/>
      <c r="X23" s="330">
        <v>8.07</v>
      </c>
      <c r="Y23" s="61"/>
      <c r="Z23" s="330">
        <v>7.88</v>
      </c>
      <c r="AA23" s="61"/>
      <c r="AB23" s="1061">
        <v>7.928571428571429</v>
      </c>
      <c r="AC23" s="61"/>
      <c r="AD23" s="1061">
        <v>7.461538461538462</v>
      </c>
      <c r="AE23" s="61"/>
      <c r="AF23" s="1061">
        <v>6.857142857142857</v>
      </c>
      <c r="AG23" s="61"/>
      <c r="AH23" s="1061">
        <v>7.375</v>
      </c>
      <c r="AI23" s="61"/>
      <c r="AJ23" s="1062">
        <v>7.363636363636363</v>
      </c>
      <c r="AK23" s="61"/>
      <c r="AL23" s="1061">
        <v>7.6</v>
      </c>
      <c r="AM23" s="61"/>
      <c r="AN23" s="1061">
        <v>7.0</v>
      </c>
      <c r="AO23" s="61"/>
      <c r="AP23" s="1061">
        <v>7.555555555555555</v>
      </c>
      <c r="AQ23" s="61"/>
      <c r="AR23" s="1061">
        <v>7.916666666666667</v>
      </c>
      <c r="AS23" s="61"/>
      <c r="AT23" s="330">
        <v>8.27</v>
      </c>
      <c r="AU23" s="61"/>
      <c r="AV23" s="330">
        <v>7.27</v>
      </c>
      <c r="AW23" s="61"/>
      <c r="AX23" s="326">
        <v>8.73</v>
      </c>
      <c r="AY23" s="328"/>
      <c r="AZ23" s="328"/>
    </row>
    <row r="24" ht="52.5" customHeight="1">
      <c r="A24" s="61"/>
      <c r="B24" s="1074" t="s">
        <v>184</v>
      </c>
      <c r="C24" s="338"/>
      <c r="D24" s="326">
        <v>7.7</v>
      </c>
      <c r="E24" s="61"/>
      <c r="F24" s="330">
        <v>8.583333333333334</v>
      </c>
      <c r="G24" s="61"/>
      <c r="H24" s="1058">
        <v>8.0</v>
      </c>
      <c r="I24" s="61"/>
      <c r="J24" s="330">
        <v>7.78</v>
      </c>
      <c r="K24" s="61"/>
      <c r="L24" s="330">
        <v>8.85</v>
      </c>
      <c r="M24" s="61"/>
      <c r="N24" s="330">
        <v>8.93</v>
      </c>
      <c r="O24" s="61"/>
      <c r="P24" s="330">
        <v>8.64</v>
      </c>
      <c r="Q24" s="61"/>
      <c r="R24" s="330">
        <v>7.67</v>
      </c>
      <c r="S24" s="61"/>
      <c r="T24" s="330">
        <v>8.4</v>
      </c>
      <c r="U24" s="61"/>
      <c r="V24" s="330">
        <v>7.75</v>
      </c>
      <c r="W24" s="61"/>
      <c r="X24" s="330">
        <v>7.6521739130434785</v>
      </c>
      <c r="Y24" s="61"/>
      <c r="Z24" s="330">
        <v>8.75</v>
      </c>
      <c r="AA24" s="61"/>
      <c r="AB24" s="1061">
        <v>8.142857142857142</v>
      </c>
      <c r="AC24" s="61"/>
      <c r="AD24" s="1061">
        <v>8.0</v>
      </c>
      <c r="AE24" s="61"/>
      <c r="AF24" s="1061">
        <v>6.785714285714286</v>
      </c>
      <c r="AG24" s="61"/>
      <c r="AH24" s="1061">
        <v>7.5</v>
      </c>
      <c r="AI24" s="61"/>
      <c r="AJ24" s="1062">
        <v>8.090909090909092</v>
      </c>
      <c r="AK24" s="61"/>
      <c r="AL24" s="1061">
        <v>8.066666666666666</v>
      </c>
      <c r="AM24" s="61"/>
      <c r="AN24" s="1061">
        <v>7.384615384615385</v>
      </c>
      <c r="AO24" s="61"/>
      <c r="AP24" s="1061">
        <v>8.166666666666666</v>
      </c>
      <c r="AQ24" s="61"/>
      <c r="AR24" s="1061">
        <v>8.5</v>
      </c>
      <c r="AS24" s="61"/>
      <c r="AT24" s="330">
        <v>8.82</v>
      </c>
      <c r="AU24" s="61"/>
      <c r="AV24" s="330">
        <v>7.82</v>
      </c>
      <c r="AW24" s="61"/>
      <c r="AX24" s="326">
        <v>8.73</v>
      </c>
      <c r="AY24" s="328"/>
      <c r="AZ24" s="328"/>
    </row>
    <row r="25" ht="52.5" customHeight="1">
      <c r="A25" s="61"/>
      <c r="B25" s="1074" t="s">
        <v>185</v>
      </c>
      <c r="C25" s="338"/>
      <c r="D25" s="326">
        <v>7.5</v>
      </c>
      <c r="E25" s="69"/>
      <c r="F25" s="330">
        <v>7.916666666666667</v>
      </c>
      <c r="G25" s="69"/>
      <c r="H25" s="1058">
        <v>8.0</v>
      </c>
      <c r="I25" s="69"/>
      <c r="J25" s="330">
        <v>7.67</v>
      </c>
      <c r="K25" s="69"/>
      <c r="L25" s="330">
        <v>8.46</v>
      </c>
      <c r="M25" s="69"/>
      <c r="N25" s="330">
        <v>8.79</v>
      </c>
      <c r="O25" s="69"/>
      <c r="P25" s="330">
        <v>8.45</v>
      </c>
      <c r="Q25" s="69"/>
      <c r="R25" s="330">
        <v>8.0</v>
      </c>
      <c r="S25" s="69"/>
      <c r="T25" s="330">
        <v>7.9</v>
      </c>
      <c r="U25" s="69"/>
      <c r="V25" s="330">
        <v>7.75</v>
      </c>
      <c r="W25" s="69"/>
      <c r="X25" s="330">
        <v>8.8</v>
      </c>
      <c r="Y25" s="69"/>
      <c r="Z25" s="330">
        <v>8.56</v>
      </c>
      <c r="AA25" s="69"/>
      <c r="AB25" s="1061">
        <v>8.461538461538462</v>
      </c>
      <c r="AC25" s="69"/>
      <c r="AD25" s="1061">
        <v>8.538461538461538</v>
      </c>
      <c r="AE25" s="69"/>
      <c r="AF25" s="1061">
        <v>8.461538461538462</v>
      </c>
      <c r="AG25" s="69"/>
      <c r="AH25" s="1061">
        <v>8.357142857142858</v>
      </c>
      <c r="AI25" s="69"/>
      <c r="AJ25" s="1062">
        <v>7.666666666666667</v>
      </c>
      <c r="AK25" s="69"/>
      <c r="AL25" s="1061">
        <v>8.142857142857142</v>
      </c>
      <c r="AM25" s="69"/>
      <c r="AN25" s="1061">
        <v>8.272727272727273</v>
      </c>
      <c r="AO25" s="69"/>
      <c r="AP25" s="1061">
        <v>8.647058823529411</v>
      </c>
      <c r="AQ25" s="69"/>
      <c r="AR25" s="1061">
        <v>8.727272727272727</v>
      </c>
      <c r="AS25" s="69"/>
      <c r="AT25" s="330">
        <v>8.55</v>
      </c>
      <c r="AU25" s="69"/>
      <c r="AV25" s="330">
        <v>7.91</v>
      </c>
      <c r="AW25" s="69"/>
      <c r="AX25" s="326">
        <v>8.82</v>
      </c>
      <c r="AY25" s="328"/>
      <c r="AZ25" s="328"/>
    </row>
    <row r="26" ht="52.5" customHeight="1">
      <c r="A26" s="61"/>
      <c r="B26" s="1074" t="s">
        <v>57</v>
      </c>
      <c r="C26" s="338"/>
      <c r="D26" s="326">
        <v>7.636363636363637</v>
      </c>
      <c r="E26" s="1056">
        <f>AVERAGE(F26:F31)</f>
        <v>7.862769779</v>
      </c>
      <c r="F26" s="330">
        <v>7.2272727272727275</v>
      </c>
      <c r="G26" s="1056">
        <f>AVERAGE(H26:H31)</f>
        <v>7.43</v>
      </c>
      <c r="H26" s="1058">
        <v>7.35</v>
      </c>
      <c r="I26" s="1056">
        <f>AVERAGE(J26:J31)</f>
        <v>7.278333333</v>
      </c>
      <c r="J26" s="330">
        <v>8.0</v>
      </c>
      <c r="K26" s="1056">
        <f>AVERAGE(L26:L31)</f>
        <v>7.573333333</v>
      </c>
      <c r="L26" s="330">
        <v>7.67</v>
      </c>
      <c r="M26" s="1056">
        <f>AVERAGE(N26:N31)</f>
        <v>7.831666667</v>
      </c>
      <c r="N26" s="330">
        <v>8.08</v>
      </c>
      <c r="O26" s="1056">
        <f>AVERAGE(P26:P31)</f>
        <v>8.19</v>
      </c>
      <c r="P26" s="330">
        <v>8.6</v>
      </c>
      <c r="Q26" s="1056">
        <f>AVERAGE(R26:R31)</f>
        <v>7.316666667</v>
      </c>
      <c r="R26" s="330">
        <v>7.83</v>
      </c>
      <c r="S26" s="1056">
        <f>AVERAGE(T26:T31)</f>
        <v>7.095</v>
      </c>
      <c r="T26" s="330">
        <v>6.75</v>
      </c>
      <c r="U26" s="1056">
        <f>AVERAGE(V26:V31)</f>
        <v>7.3</v>
      </c>
      <c r="V26" s="330">
        <v>7.2</v>
      </c>
      <c r="W26" s="1056">
        <f>AVERAGE(X26:X31)</f>
        <v>7.735</v>
      </c>
      <c r="X26" s="330">
        <v>8.13</v>
      </c>
      <c r="Y26" s="1056">
        <f>AVERAGE(Z26:Z31)</f>
        <v>8.015</v>
      </c>
      <c r="Z26" s="330">
        <v>8.33</v>
      </c>
      <c r="AA26" s="1056">
        <f>AVERAGE(AB26:AB31)</f>
        <v>8.091117216</v>
      </c>
      <c r="AB26" s="1061">
        <v>8.25</v>
      </c>
      <c r="AC26" s="1056">
        <f>AVERAGE(AD26:AD31)</f>
        <v>7.759226884</v>
      </c>
      <c r="AD26" s="1061">
        <v>7.916666666666667</v>
      </c>
      <c r="AE26" s="1056">
        <f>AVERAGE(AF26:AF31)</f>
        <v>7.751068376</v>
      </c>
      <c r="AF26" s="1061">
        <v>8.0</v>
      </c>
      <c r="AG26" s="1056">
        <f>AVERAGE(AH26:AH31)</f>
        <v>7.877014652</v>
      </c>
      <c r="AH26" s="1061">
        <v>7.769230769230769</v>
      </c>
      <c r="AI26" s="1056">
        <f>AVERAGE(AJ26:AJ31)</f>
        <v>8.446296296</v>
      </c>
      <c r="AJ26" s="1062">
        <v>8.777777777777779</v>
      </c>
      <c r="AK26" s="1056">
        <f>AVERAGE(AL26:AL31)</f>
        <v>7.644322344</v>
      </c>
      <c r="AL26" s="1061">
        <v>7.428571428571429</v>
      </c>
      <c r="AM26" s="1056">
        <f>AVERAGE(AN26:AN31)</f>
        <v>7.819949495</v>
      </c>
      <c r="AN26" s="1061">
        <v>7.7</v>
      </c>
      <c r="AO26" s="1056">
        <f>AVERAGE(AP26:AP31)</f>
        <v>7.537377451</v>
      </c>
      <c r="AP26" s="1061">
        <v>7.411764705882353</v>
      </c>
      <c r="AQ26" s="1056">
        <f>AVERAGE(AR26:AR31)</f>
        <v>7.683080808</v>
      </c>
      <c r="AR26" s="1061">
        <v>7.636363636363637</v>
      </c>
      <c r="AS26" s="1056">
        <f>AVERAGE(AT26:AT31)</f>
        <v>8.066666667</v>
      </c>
      <c r="AT26" s="330">
        <v>8.0</v>
      </c>
      <c r="AU26" s="1056">
        <f>AVERAGE(AV26:AV31)</f>
        <v>7.481666667</v>
      </c>
      <c r="AV26" s="330">
        <v>7.7</v>
      </c>
      <c r="AW26" s="1056">
        <f>AVERAGE(AX26:AX31)</f>
        <v>7.528333333</v>
      </c>
      <c r="AX26" s="326">
        <v>7.45</v>
      </c>
      <c r="AY26" s="328"/>
      <c r="AZ26" s="328"/>
    </row>
    <row r="27" ht="52.5" customHeight="1">
      <c r="A27" s="61"/>
      <c r="B27" s="1074" t="s">
        <v>58</v>
      </c>
      <c r="C27" s="338"/>
      <c r="D27" s="326">
        <v>7.2272727272727275</v>
      </c>
      <c r="E27" s="61"/>
      <c r="F27" s="330">
        <v>8.476190476190476</v>
      </c>
      <c r="G27" s="61"/>
      <c r="H27" s="1058">
        <v>7.19</v>
      </c>
      <c r="I27" s="61"/>
      <c r="J27" s="330">
        <v>7.63</v>
      </c>
      <c r="K27" s="61"/>
      <c r="L27" s="330">
        <v>8.0</v>
      </c>
      <c r="M27" s="61"/>
      <c r="N27" s="330">
        <v>8.07</v>
      </c>
      <c r="O27" s="61"/>
      <c r="P27" s="330">
        <v>8.73</v>
      </c>
      <c r="Q27" s="61"/>
      <c r="R27" s="330">
        <v>7.5</v>
      </c>
      <c r="S27" s="61"/>
      <c r="T27" s="330">
        <v>6.7</v>
      </c>
      <c r="U27" s="61"/>
      <c r="V27" s="330">
        <v>7.33</v>
      </c>
      <c r="W27" s="61"/>
      <c r="X27" s="330">
        <v>7.71</v>
      </c>
      <c r="Y27" s="61"/>
      <c r="Z27" s="330">
        <v>8.38</v>
      </c>
      <c r="AA27" s="61"/>
      <c r="AB27" s="1061">
        <v>8.0</v>
      </c>
      <c r="AC27" s="61"/>
      <c r="AD27" s="1061">
        <v>7.846153846153846</v>
      </c>
      <c r="AE27" s="61"/>
      <c r="AF27" s="1061">
        <v>8.0</v>
      </c>
      <c r="AG27" s="61"/>
      <c r="AH27" s="1061">
        <v>8.0</v>
      </c>
      <c r="AI27" s="61"/>
      <c r="AJ27" s="1062">
        <v>8.6</v>
      </c>
      <c r="AK27" s="61"/>
      <c r="AL27" s="1061">
        <v>7.866666666666666</v>
      </c>
      <c r="AM27" s="61"/>
      <c r="AN27" s="1061">
        <v>7.833333333333333</v>
      </c>
      <c r="AO27" s="61"/>
      <c r="AP27" s="1061">
        <v>7.764705882352941</v>
      </c>
      <c r="AQ27" s="61"/>
      <c r="AR27" s="1061">
        <v>7.333333333333333</v>
      </c>
      <c r="AS27" s="61"/>
      <c r="AT27" s="330">
        <v>8.4</v>
      </c>
      <c r="AU27" s="61"/>
      <c r="AV27" s="330">
        <v>7.55</v>
      </c>
      <c r="AW27" s="61"/>
      <c r="AX27" s="326">
        <v>7.18</v>
      </c>
      <c r="AY27" s="328"/>
      <c r="AZ27" s="328"/>
    </row>
    <row r="28" ht="52.5" customHeight="1">
      <c r="A28" s="69"/>
      <c r="B28" s="1074" t="s">
        <v>59</v>
      </c>
      <c r="C28" s="338"/>
      <c r="D28" s="326">
        <v>8.08695652173913</v>
      </c>
      <c r="E28" s="61"/>
      <c r="F28" s="330">
        <v>8.590909090909092</v>
      </c>
      <c r="G28" s="61"/>
      <c r="H28" s="1058">
        <v>7.47</v>
      </c>
      <c r="I28" s="61"/>
      <c r="J28" s="330">
        <v>7.38</v>
      </c>
      <c r="K28" s="61"/>
      <c r="L28" s="330">
        <v>7.54</v>
      </c>
      <c r="M28" s="61"/>
      <c r="N28" s="330">
        <v>7.92</v>
      </c>
      <c r="O28" s="61"/>
      <c r="P28" s="330">
        <v>8.27</v>
      </c>
      <c r="Q28" s="61"/>
      <c r="R28" s="330">
        <v>7.0</v>
      </c>
      <c r="S28" s="61"/>
      <c r="T28" s="330">
        <v>7.0</v>
      </c>
      <c r="U28" s="61"/>
      <c r="V28" s="330">
        <v>7.0</v>
      </c>
      <c r="W28" s="61"/>
      <c r="X28" s="330">
        <v>7.43</v>
      </c>
      <c r="Y28" s="61"/>
      <c r="Z28" s="330">
        <v>8.13</v>
      </c>
      <c r="AA28" s="61"/>
      <c r="AB28" s="1061">
        <v>7.769230769230769</v>
      </c>
      <c r="AC28" s="61"/>
      <c r="AD28" s="1061">
        <v>7.666666666666667</v>
      </c>
      <c r="AE28" s="61"/>
      <c r="AF28" s="1061">
        <v>7.6923076923076925</v>
      </c>
      <c r="AG28" s="61"/>
      <c r="AH28" s="1061">
        <v>7.642857142857143</v>
      </c>
      <c r="AI28" s="61"/>
      <c r="AJ28" s="1062">
        <v>8.6</v>
      </c>
      <c r="AK28" s="61"/>
      <c r="AL28" s="1061">
        <v>7.571428571428571</v>
      </c>
      <c r="AM28" s="61"/>
      <c r="AN28" s="1061">
        <v>7.636363636363637</v>
      </c>
      <c r="AO28" s="61"/>
      <c r="AP28" s="1061">
        <v>7.764705882352941</v>
      </c>
      <c r="AQ28" s="61"/>
      <c r="AR28" s="1061">
        <v>7.545454545454546</v>
      </c>
      <c r="AS28" s="61"/>
      <c r="AT28" s="330">
        <v>8.0</v>
      </c>
      <c r="AU28" s="61"/>
      <c r="AV28" s="330">
        <v>7.27</v>
      </c>
      <c r="AW28" s="61"/>
      <c r="AX28" s="326">
        <v>7.27</v>
      </c>
      <c r="AY28" s="328"/>
      <c r="AZ28" s="328"/>
    </row>
    <row r="29" ht="52.5" customHeight="1">
      <c r="A29" s="276" t="s">
        <v>60</v>
      </c>
      <c r="B29" s="1075" t="s">
        <v>61</v>
      </c>
      <c r="C29" s="329">
        <f>AVERAGE(D29:D35)</f>
        <v>8.256248151</v>
      </c>
      <c r="D29" s="326">
        <v>7.565217391304348</v>
      </c>
      <c r="E29" s="61"/>
      <c r="F29" s="330">
        <v>7.304347826086956</v>
      </c>
      <c r="G29" s="61"/>
      <c r="H29" s="1058">
        <v>7.69</v>
      </c>
      <c r="I29" s="61"/>
      <c r="J29" s="330">
        <v>7.0</v>
      </c>
      <c r="K29" s="61"/>
      <c r="L29" s="330">
        <v>7.58</v>
      </c>
      <c r="M29" s="61"/>
      <c r="N29" s="330">
        <v>8.0</v>
      </c>
      <c r="O29" s="61"/>
      <c r="P29" s="330">
        <v>8.18</v>
      </c>
      <c r="Q29" s="61"/>
      <c r="R29" s="330">
        <v>7.71</v>
      </c>
      <c r="S29" s="61"/>
      <c r="T29" s="330">
        <v>7.9</v>
      </c>
      <c r="U29" s="61"/>
      <c r="V29" s="330">
        <v>7.67</v>
      </c>
      <c r="W29" s="61"/>
      <c r="X29" s="330">
        <v>7.27</v>
      </c>
      <c r="Y29" s="61"/>
      <c r="Z29" s="330">
        <v>8.06</v>
      </c>
      <c r="AA29" s="61"/>
      <c r="AB29" s="1061">
        <v>8.571428571428571</v>
      </c>
      <c r="AC29" s="61"/>
      <c r="AD29" s="1061">
        <v>8.307692307692308</v>
      </c>
      <c r="AE29" s="61"/>
      <c r="AF29" s="1061">
        <v>8.076923076923077</v>
      </c>
      <c r="AG29" s="61"/>
      <c r="AH29" s="1061">
        <v>8.25</v>
      </c>
      <c r="AI29" s="61"/>
      <c r="AJ29" s="1062">
        <v>7.636363636363637</v>
      </c>
      <c r="AK29" s="61"/>
      <c r="AL29" s="1061">
        <v>7.933333333333334</v>
      </c>
      <c r="AM29" s="61"/>
      <c r="AN29" s="1061">
        <v>8.083333333333334</v>
      </c>
      <c r="AO29" s="61"/>
      <c r="AP29" s="1061">
        <v>7.470588235294118</v>
      </c>
      <c r="AQ29" s="61"/>
      <c r="AR29" s="1061">
        <v>8.25</v>
      </c>
      <c r="AS29" s="61"/>
      <c r="AT29" s="326">
        <v>8.09</v>
      </c>
      <c r="AU29" s="61"/>
      <c r="AV29" s="330">
        <v>7.64</v>
      </c>
      <c r="AW29" s="61"/>
      <c r="AX29" s="326">
        <v>8.18</v>
      </c>
      <c r="AY29" s="328"/>
      <c r="AZ29" s="328"/>
    </row>
    <row r="30" ht="52.5" customHeight="1">
      <c r="A30" s="61"/>
      <c r="B30" s="1075" t="s">
        <v>62</v>
      </c>
      <c r="C30" s="338"/>
      <c r="D30" s="326">
        <v>7.857142857142857</v>
      </c>
      <c r="E30" s="61"/>
      <c r="F30" s="330">
        <v>7.869565217391305</v>
      </c>
      <c r="G30" s="61"/>
      <c r="H30" s="330">
        <v>7.06</v>
      </c>
      <c r="I30" s="61"/>
      <c r="J30" s="330">
        <v>5.83</v>
      </c>
      <c r="K30" s="61"/>
      <c r="L30" s="330">
        <v>6.5</v>
      </c>
      <c r="M30" s="61"/>
      <c r="N30" s="330">
        <v>6.92</v>
      </c>
      <c r="O30" s="61"/>
      <c r="P30" s="330">
        <v>7.27</v>
      </c>
      <c r="Q30" s="61"/>
      <c r="R30" s="330">
        <v>6.29</v>
      </c>
      <c r="S30" s="61"/>
      <c r="T30" s="330">
        <v>6.33</v>
      </c>
      <c r="U30" s="61"/>
      <c r="V30" s="330">
        <v>6.4</v>
      </c>
      <c r="W30" s="61"/>
      <c r="X30" s="330">
        <v>7.8</v>
      </c>
      <c r="Y30" s="61"/>
      <c r="Z30" s="330">
        <v>6.94</v>
      </c>
      <c r="AA30" s="61"/>
      <c r="AB30" s="1061">
        <v>7.384615384615385</v>
      </c>
      <c r="AC30" s="61"/>
      <c r="AD30" s="1061">
        <v>6.636363636363637</v>
      </c>
      <c r="AE30" s="61"/>
      <c r="AF30" s="1061">
        <v>6.583333333333333</v>
      </c>
      <c r="AG30" s="61"/>
      <c r="AH30" s="1061">
        <v>7.133333333333334</v>
      </c>
      <c r="AI30" s="61"/>
      <c r="AJ30" s="1062">
        <v>8.7</v>
      </c>
      <c r="AK30" s="61"/>
      <c r="AL30" s="1061">
        <v>6.923076923076923</v>
      </c>
      <c r="AM30" s="61"/>
      <c r="AN30" s="1061">
        <v>7.166666666666667</v>
      </c>
      <c r="AO30" s="61"/>
      <c r="AP30" s="1061">
        <v>6.8125</v>
      </c>
      <c r="AQ30" s="61"/>
      <c r="AR30" s="1061">
        <v>7.0</v>
      </c>
      <c r="AS30" s="61"/>
      <c r="AT30" s="330">
        <v>7.64</v>
      </c>
      <c r="AU30" s="61"/>
      <c r="AV30" s="330">
        <v>7.0</v>
      </c>
      <c r="AW30" s="61"/>
      <c r="AX30" s="326">
        <v>6.91</v>
      </c>
      <c r="AY30" s="328"/>
      <c r="AZ30" s="328"/>
    </row>
    <row r="31" ht="52.5" customHeight="1">
      <c r="A31" s="61"/>
      <c r="B31" s="1075" t="s">
        <v>63</v>
      </c>
      <c r="C31" s="338"/>
      <c r="D31" s="326">
        <v>8.041666666666666</v>
      </c>
      <c r="E31" s="69"/>
      <c r="F31" s="330">
        <v>7.708333333333333</v>
      </c>
      <c r="G31" s="69"/>
      <c r="H31" s="1058">
        <v>7.82</v>
      </c>
      <c r="I31" s="69"/>
      <c r="J31" s="330">
        <v>7.83</v>
      </c>
      <c r="K31" s="69"/>
      <c r="L31" s="330">
        <v>8.15</v>
      </c>
      <c r="M31" s="69"/>
      <c r="N31" s="330">
        <v>8.0</v>
      </c>
      <c r="O31" s="69"/>
      <c r="P31" s="330">
        <v>8.09</v>
      </c>
      <c r="Q31" s="69"/>
      <c r="R31" s="330">
        <v>7.57</v>
      </c>
      <c r="S31" s="69"/>
      <c r="T31" s="330">
        <v>7.89</v>
      </c>
      <c r="U31" s="69"/>
      <c r="V31" s="330">
        <v>8.2</v>
      </c>
      <c r="W31" s="69"/>
      <c r="X31" s="330">
        <v>8.07</v>
      </c>
      <c r="Y31" s="69"/>
      <c r="Z31" s="330">
        <v>8.25</v>
      </c>
      <c r="AA31" s="69"/>
      <c r="AB31" s="1061">
        <v>8.571428571428571</v>
      </c>
      <c r="AC31" s="69"/>
      <c r="AD31" s="1061">
        <v>8.181818181818182</v>
      </c>
      <c r="AE31" s="69"/>
      <c r="AF31" s="1061">
        <v>8.153846153846153</v>
      </c>
      <c r="AG31" s="69"/>
      <c r="AH31" s="1061">
        <v>8.466666666666667</v>
      </c>
      <c r="AI31" s="69"/>
      <c r="AJ31" s="1062">
        <v>8.363636363636363</v>
      </c>
      <c r="AK31" s="69"/>
      <c r="AL31" s="1061">
        <v>8.142857142857142</v>
      </c>
      <c r="AM31" s="69"/>
      <c r="AN31" s="1061">
        <v>8.5</v>
      </c>
      <c r="AO31" s="69"/>
      <c r="AP31" s="1061">
        <v>8.0</v>
      </c>
      <c r="AQ31" s="69"/>
      <c r="AR31" s="1061">
        <v>8.333333333333334</v>
      </c>
      <c r="AS31" s="69"/>
      <c r="AT31" s="330">
        <v>8.27</v>
      </c>
      <c r="AU31" s="69"/>
      <c r="AV31" s="330">
        <v>7.73</v>
      </c>
      <c r="AW31" s="69"/>
      <c r="AX31" s="326">
        <v>8.18</v>
      </c>
      <c r="AY31" s="328"/>
      <c r="AZ31" s="328"/>
    </row>
    <row r="32" ht="52.5" customHeight="1">
      <c r="A32" s="61"/>
      <c r="B32" s="1075" t="s">
        <v>64</v>
      </c>
      <c r="C32" s="338"/>
      <c r="D32" s="326">
        <v>8.083333333333334</v>
      </c>
      <c r="E32" s="1056">
        <f>AVERAGE(F32:F34)</f>
        <v>8.012626263</v>
      </c>
      <c r="F32" s="330">
        <v>8.125</v>
      </c>
      <c r="G32" s="1056">
        <f>AVERAGE(H32:H36)</f>
        <v>7.434</v>
      </c>
      <c r="H32" s="1058">
        <v>6.93</v>
      </c>
      <c r="I32" s="1056">
        <f>AVERAGE(J32:J34)</f>
        <v>7.223333333</v>
      </c>
      <c r="J32" s="330">
        <v>6.89</v>
      </c>
      <c r="K32" s="1056">
        <f>AVERAGE(L32:L34)</f>
        <v>7.77</v>
      </c>
      <c r="L32" s="330">
        <v>7.58</v>
      </c>
      <c r="M32" s="1056">
        <f>AVERAGE(N32:N34)</f>
        <v>8.276666667</v>
      </c>
      <c r="N32" s="330">
        <v>8.08</v>
      </c>
      <c r="O32" s="1056">
        <f>AVERAGE(P32:P34)</f>
        <v>8.28</v>
      </c>
      <c r="P32" s="330">
        <v>8.2</v>
      </c>
      <c r="Q32" s="1056">
        <f>AVERAGE(R32:R34)</f>
        <v>7.083333333</v>
      </c>
      <c r="R32" s="330">
        <v>7.0</v>
      </c>
      <c r="S32" s="1056">
        <f>AVERAGE(T32:T34)</f>
        <v>6.853333333</v>
      </c>
      <c r="T32" s="330">
        <v>6.89</v>
      </c>
      <c r="U32" s="1056">
        <f>AVERAGE(V32:V34)</f>
        <v>7.49</v>
      </c>
      <c r="V32" s="330">
        <v>6.92</v>
      </c>
      <c r="W32" s="1056">
        <f>AVERAGE(X32:X36)</f>
        <v>7.926</v>
      </c>
      <c r="X32" s="330">
        <v>7.43</v>
      </c>
      <c r="Y32" s="1056">
        <f>AVERAGE(Z32:Z36)</f>
        <v>8.588</v>
      </c>
      <c r="Z32" s="330">
        <v>8.75</v>
      </c>
      <c r="AA32" s="1056">
        <f>AVERAGE(AB32:AB36)</f>
        <v>8.124871795</v>
      </c>
      <c r="AB32" s="1061">
        <v>7.538461538461538</v>
      </c>
      <c r="AC32" s="1056">
        <f>AVERAGE(AD32:AD36)</f>
        <v>7.671794872</v>
      </c>
      <c r="AD32" s="1061">
        <v>7.5</v>
      </c>
      <c r="AE32" s="1056">
        <f>AVERAGE(AF32:AF36)</f>
        <v>7.630769231</v>
      </c>
      <c r="AF32" s="1061">
        <v>7.076923076923077</v>
      </c>
      <c r="AG32" s="1056">
        <f>AVERAGE(AH32:AH36)</f>
        <v>7.786233766</v>
      </c>
      <c r="AH32" s="1061">
        <v>7.333333333333333</v>
      </c>
      <c r="AI32" s="1056">
        <f>AVERAGE(AJ32:AJ36)</f>
        <v>8.360606061</v>
      </c>
      <c r="AJ32" s="1062">
        <v>8.454545454545455</v>
      </c>
      <c r="AK32" s="1056">
        <f>AVERAGE(AL32:AL36)</f>
        <v>7.657542458</v>
      </c>
      <c r="AL32" s="1061">
        <v>7.285714285714286</v>
      </c>
      <c r="AM32" s="1056">
        <f>AVERAGE(AN32:AN36)</f>
        <v>7.561111111</v>
      </c>
      <c r="AN32" s="1061">
        <v>7.083333333333333</v>
      </c>
      <c r="AO32" s="1056">
        <f>AVERAGE(AP32:AP36)</f>
        <v>7.897478992</v>
      </c>
      <c r="AP32" s="1061">
        <v>7.9411764705882355</v>
      </c>
      <c r="AQ32" s="1056">
        <f>AVERAGE(AR32:AR36)</f>
        <v>7.687878788</v>
      </c>
      <c r="AR32" s="1061">
        <v>6.833333333333333</v>
      </c>
      <c r="AS32" s="1056">
        <f>AVERAGE(AT32:AT34)</f>
        <v>8.16</v>
      </c>
      <c r="AT32" s="330">
        <v>8.3</v>
      </c>
      <c r="AU32" s="1056">
        <f>AVERAGE(AV32:AV34)</f>
        <v>7.513333333</v>
      </c>
      <c r="AV32" s="330">
        <v>7.3</v>
      </c>
      <c r="AW32" s="1056">
        <f>AVERAGE(AX32:AX34)</f>
        <v>7.696666667</v>
      </c>
      <c r="AX32" s="326">
        <v>7.4</v>
      </c>
      <c r="AY32" s="328"/>
      <c r="AZ32" s="328"/>
    </row>
    <row r="33" ht="52.5" customHeight="1">
      <c r="A33" s="61"/>
      <c r="B33" s="1075" t="s">
        <v>65</v>
      </c>
      <c r="C33" s="338"/>
      <c r="D33" s="326">
        <v>8.791666666666666</v>
      </c>
      <c r="E33" s="61"/>
      <c r="F33" s="330">
        <v>8.454545454545455</v>
      </c>
      <c r="G33" s="61"/>
      <c r="H33" s="1058">
        <v>7.57</v>
      </c>
      <c r="I33" s="61"/>
      <c r="J33" s="330">
        <v>7.38</v>
      </c>
      <c r="K33" s="61"/>
      <c r="L33" s="330">
        <v>8.0</v>
      </c>
      <c r="M33" s="61"/>
      <c r="N33" s="330">
        <v>8.85</v>
      </c>
      <c r="O33" s="61"/>
      <c r="P33" s="330">
        <v>8.64</v>
      </c>
      <c r="Q33" s="61"/>
      <c r="R33" s="330">
        <v>7.25</v>
      </c>
      <c r="S33" s="61"/>
      <c r="T33" s="330">
        <v>7.1</v>
      </c>
      <c r="U33" s="61"/>
      <c r="V33" s="330">
        <v>7.55</v>
      </c>
      <c r="W33" s="61"/>
      <c r="X33" s="330">
        <v>7.79</v>
      </c>
      <c r="Y33" s="61"/>
      <c r="Z33" s="330">
        <v>8.87</v>
      </c>
      <c r="AA33" s="61"/>
      <c r="AB33" s="1061">
        <v>8.416666666666666</v>
      </c>
      <c r="AC33" s="61"/>
      <c r="AD33" s="1061">
        <v>8.23076923076923</v>
      </c>
      <c r="AE33" s="61"/>
      <c r="AF33" s="1061">
        <v>8.153846153846153</v>
      </c>
      <c r="AG33" s="61"/>
      <c r="AH33" s="1061">
        <v>8.285714285714286</v>
      </c>
      <c r="AI33" s="61"/>
      <c r="AJ33" s="1062">
        <v>8.666666666666666</v>
      </c>
      <c r="AK33" s="61"/>
      <c r="AL33" s="1061">
        <v>8.071428571428571</v>
      </c>
      <c r="AM33" s="61"/>
      <c r="AN33" s="1061">
        <v>8.0</v>
      </c>
      <c r="AO33" s="61"/>
      <c r="AP33" s="1061">
        <v>8.176470588235293</v>
      </c>
      <c r="AQ33" s="61"/>
      <c r="AR33" s="1061">
        <v>7.636363636363637</v>
      </c>
      <c r="AS33" s="61"/>
      <c r="AT33" s="330">
        <v>8.0</v>
      </c>
      <c r="AU33" s="61"/>
      <c r="AV33" s="330">
        <v>7.64</v>
      </c>
      <c r="AW33" s="61"/>
      <c r="AX33" s="326">
        <v>7.91</v>
      </c>
      <c r="AY33" s="328"/>
      <c r="AZ33" s="328"/>
    </row>
    <row r="34" ht="52.5" customHeight="1">
      <c r="A34" s="61"/>
      <c r="B34" s="1075" t="s">
        <v>66</v>
      </c>
      <c r="C34" s="338"/>
      <c r="D34" s="326">
        <v>8.541666666666666</v>
      </c>
      <c r="E34" s="61"/>
      <c r="F34" s="330">
        <v>7.458333333333333</v>
      </c>
      <c r="G34" s="61"/>
      <c r="H34" s="1058">
        <v>7.29</v>
      </c>
      <c r="I34" s="61"/>
      <c r="J34" s="330">
        <v>7.4</v>
      </c>
      <c r="K34" s="61"/>
      <c r="L34" s="330">
        <v>7.73</v>
      </c>
      <c r="M34" s="61"/>
      <c r="N34" s="330">
        <v>7.9</v>
      </c>
      <c r="O34" s="61"/>
      <c r="P34" s="330">
        <v>8.0</v>
      </c>
      <c r="Q34" s="61"/>
      <c r="R34" s="330">
        <v>7.0</v>
      </c>
      <c r="S34" s="61"/>
      <c r="T34" s="330">
        <v>6.57</v>
      </c>
      <c r="U34" s="61"/>
      <c r="V34" s="330">
        <v>8.0</v>
      </c>
      <c r="W34" s="61"/>
      <c r="X34" s="330">
        <v>8.07</v>
      </c>
      <c r="Y34" s="61"/>
      <c r="Z34" s="330">
        <v>8.31</v>
      </c>
      <c r="AA34" s="61"/>
      <c r="AB34" s="1061">
        <v>7.9</v>
      </c>
      <c r="AC34" s="61"/>
      <c r="AD34" s="1061">
        <v>7.166666666666667</v>
      </c>
      <c r="AE34" s="61"/>
      <c r="AF34" s="1061">
        <v>8.0</v>
      </c>
      <c r="AG34" s="61"/>
      <c r="AH34" s="1061">
        <v>7.545454545454546</v>
      </c>
      <c r="AI34" s="61"/>
      <c r="AJ34" s="1062">
        <v>8.4</v>
      </c>
      <c r="AK34" s="61"/>
      <c r="AL34" s="1061">
        <v>7.7272727272727275</v>
      </c>
      <c r="AM34" s="61"/>
      <c r="AN34" s="1061">
        <v>7.555555555555555</v>
      </c>
      <c r="AO34" s="61"/>
      <c r="AP34" s="1061">
        <v>7.428571428571429</v>
      </c>
      <c r="AQ34" s="61"/>
      <c r="AR34" s="1061">
        <v>7.75</v>
      </c>
      <c r="AS34" s="61"/>
      <c r="AT34" s="330">
        <v>8.18</v>
      </c>
      <c r="AU34" s="61"/>
      <c r="AV34" s="330">
        <v>7.6</v>
      </c>
      <c r="AW34" s="61"/>
      <c r="AX34" s="326">
        <v>7.78</v>
      </c>
      <c r="AY34" s="328"/>
      <c r="AZ34" s="328"/>
    </row>
    <row r="35" ht="52.5" customHeight="1">
      <c r="A35" s="69"/>
      <c r="B35" s="1075" t="s">
        <v>40</v>
      </c>
      <c r="C35" s="547"/>
      <c r="D35" s="326">
        <v>8.91304347826087</v>
      </c>
      <c r="E35" s="61"/>
      <c r="F35" s="330">
        <v>7.583333333333333</v>
      </c>
      <c r="G35" s="61"/>
      <c r="H35" s="1058">
        <v>7.94</v>
      </c>
      <c r="I35" s="61"/>
      <c r="J35" s="330">
        <v>7.5</v>
      </c>
      <c r="K35" s="61"/>
      <c r="L35" s="330">
        <v>8.31</v>
      </c>
      <c r="M35" s="61"/>
      <c r="N35" s="330">
        <v>8.31</v>
      </c>
      <c r="O35" s="61"/>
      <c r="P35" s="330">
        <v>8.27</v>
      </c>
      <c r="Q35" s="61"/>
      <c r="R35" s="330">
        <v>7.56</v>
      </c>
      <c r="S35" s="61"/>
      <c r="T35" s="330">
        <v>7.6</v>
      </c>
      <c r="U35" s="61"/>
      <c r="V35" s="330">
        <v>7.64</v>
      </c>
      <c r="W35" s="61"/>
      <c r="X35" s="330">
        <v>8.07</v>
      </c>
      <c r="Y35" s="61"/>
      <c r="Z35" s="330">
        <v>8.38</v>
      </c>
      <c r="AA35" s="61"/>
      <c r="AB35" s="1061">
        <v>8.76923076923077</v>
      </c>
      <c r="AC35" s="61"/>
      <c r="AD35" s="1061">
        <v>8.0</v>
      </c>
      <c r="AE35" s="61"/>
      <c r="AF35" s="1061">
        <v>8.076923076923077</v>
      </c>
      <c r="AG35" s="61"/>
      <c r="AH35" s="1061">
        <v>8.266666666666667</v>
      </c>
      <c r="AI35" s="61"/>
      <c r="AJ35" s="1062">
        <v>8.1</v>
      </c>
      <c r="AK35" s="61"/>
      <c r="AL35" s="1061">
        <v>7.846153846153846</v>
      </c>
      <c r="AM35" s="61"/>
      <c r="AN35" s="1061">
        <v>8.166666666666666</v>
      </c>
      <c r="AO35" s="61"/>
      <c r="AP35" s="1061">
        <v>7.9411764705882355</v>
      </c>
      <c r="AQ35" s="61"/>
      <c r="AR35" s="1061">
        <v>8.583333333333334</v>
      </c>
      <c r="AS35" s="61"/>
      <c r="AT35" s="330">
        <v>8.36</v>
      </c>
      <c r="AU35" s="61"/>
      <c r="AV35" s="330">
        <v>8.0</v>
      </c>
      <c r="AW35" s="61"/>
      <c r="AX35" s="326">
        <v>8.45</v>
      </c>
      <c r="AY35" s="328"/>
      <c r="AZ35" s="328"/>
    </row>
    <row r="36" ht="52.5" customHeight="1">
      <c r="A36" s="1076"/>
      <c r="B36" s="731" t="s">
        <v>65</v>
      </c>
      <c r="C36" s="296" t="s">
        <v>68</v>
      </c>
      <c r="D36" s="291">
        <f>AVERAGE(D3:D35)</f>
        <v>8.021505142</v>
      </c>
      <c r="E36" s="69"/>
      <c r="F36" s="330">
        <v>8.875</v>
      </c>
      <c r="G36" s="69"/>
      <c r="H36" s="1058">
        <v>7.44</v>
      </c>
      <c r="I36" s="69"/>
      <c r="J36" s="330">
        <v>7.33</v>
      </c>
      <c r="K36" s="69"/>
      <c r="L36" s="330">
        <v>7.92</v>
      </c>
      <c r="M36" s="69"/>
      <c r="N36" s="330">
        <v>8.08</v>
      </c>
      <c r="O36" s="69"/>
      <c r="P36" s="330">
        <v>8.0</v>
      </c>
      <c r="Q36" s="69"/>
      <c r="R36" s="330">
        <v>6.89</v>
      </c>
      <c r="S36" s="69"/>
      <c r="T36" s="330">
        <v>7.0</v>
      </c>
      <c r="U36" s="69"/>
      <c r="V36" s="330">
        <v>6.92</v>
      </c>
      <c r="W36" s="69"/>
      <c r="X36" s="330">
        <v>8.27</v>
      </c>
      <c r="Y36" s="69"/>
      <c r="Z36" s="330">
        <v>8.63</v>
      </c>
      <c r="AA36" s="69"/>
      <c r="AB36" s="1061">
        <v>8.0</v>
      </c>
      <c r="AC36" s="69"/>
      <c r="AD36" s="1061">
        <v>7.461538461538462</v>
      </c>
      <c r="AE36" s="69"/>
      <c r="AF36" s="1061">
        <v>6.846153846153846</v>
      </c>
      <c r="AG36" s="69"/>
      <c r="AH36" s="1061">
        <v>7.5</v>
      </c>
      <c r="AI36" s="69"/>
      <c r="AJ36" s="1062">
        <v>8.181818181818182</v>
      </c>
      <c r="AK36" s="69"/>
      <c r="AL36" s="1061">
        <v>7.357142857142857</v>
      </c>
      <c r="AM36" s="69"/>
      <c r="AN36" s="1061">
        <v>7.0</v>
      </c>
      <c r="AO36" s="69"/>
      <c r="AP36" s="1061">
        <v>8.0</v>
      </c>
      <c r="AQ36" s="69"/>
      <c r="AR36" s="1061">
        <v>7.636363636363637</v>
      </c>
      <c r="AS36" s="69"/>
      <c r="AT36" s="330">
        <v>8.73</v>
      </c>
      <c r="AU36" s="69"/>
      <c r="AV36" s="330">
        <v>7.36</v>
      </c>
      <c r="AW36" s="69"/>
      <c r="AX36" s="326">
        <v>7.45</v>
      </c>
      <c r="AY36" s="328"/>
      <c r="AZ36" s="328"/>
    </row>
    <row r="37" ht="26.25" customHeight="1">
      <c r="A37" s="1064"/>
      <c r="B37" s="1065"/>
      <c r="C37" s="69"/>
      <c r="D37" s="69"/>
      <c r="E37" s="732" t="s">
        <v>188</v>
      </c>
      <c r="F37" s="291">
        <f>AVERAGE(F3:F34)</f>
        <v>8.01187838</v>
      </c>
      <c r="G37" s="1066" t="s">
        <v>188</v>
      </c>
      <c r="H37" s="1057">
        <f>AVERAGE(H3:H34)</f>
        <v>7.6025</v>
      </c>
      <c r="I37" s="732" t="s">
        <v>188</v>
      </c>
      <c r="J37" s="291">
        <f>AVERAGE(J3:J36)</f>
        <v>7.550882353</v>
      </c>
      <c r="K37" s="732" t="s">
        <v>188</v>
      </c>
      <c r="L37" s="1057">
        <f>AVERAGE(L3:L36)</f>
        <v>7.867941176</v>
      </c>
      <c r="M37" s="732" t="s">
        <v>188</v>
      </c>
      <c r="N37" s="291">
        <f>AVERAGE(N3:N34)</f>
        <v>8.0025</v>
      </c>
      <c r="O37" s="732" t="s">
        <v>188</v>
      </c>
      <c r="P37" s="291">
        <f>AVERAGE(P3:P34)</f>
        <v>8.3315625</v>
      </c>
      <c r="Q37" s="732" t="s">
        <v>188</v>
      </c>
      <c r="R37" s="291">
        <f>AVERAGE(R3:R34)</f>
        <v>7.35375</v>
      </c>
      <c r="S37" s="732" t="s">
        <v>188</v>
      </c>
      <c r="T37" s="291">
        <f>AVERAGE(T3:T34)</f>
        <v>7.0909375</v>
      </c>
      <c r="U37" s="732" t="s">
        <v>188</v>
      </c>
      <c r="V37" s="291">
        <f>AVERAGE(V3:V34)</f>
        <v>7.4728125</v>
      </c>
      <c r="W37" s="732" t="s">
        <v>188</v>
      </c>
      <c r="X37" s="291">
        <f>AVERAGE(X3:X36)</f>
        <v>7.77359335</v>
      </c>
      <c r="Y37" s="732" t="s">
        <v>188</v>
      </c>
      <c r="Z37" s="291">
        <f>AVERAGE(Z3:Z36)</f>
        <v>8.278235294</v>
      </c>
      <c r="AA37" s="732" t="s">
        <v>188</v>
      </c>
      <c r="AB37" s="291">
        <f>AVERAGE(AB3:AB36)</f>
        <v>8.136576169</v>
      </c>
      <c r="AC37" s="732" t="s">
        <v>188</v>
      </c>
      <c r="AD37" s="291">
        <f>AVERAGE(AD3:AD36)</f>
        <v>7.765957082</v>
      </c>
      <c r="AE37" s="732" t="s">
        <v>188</v>
      </c>
      <c r="AF37" s="291">
        <f>AVERAGE(AF3:AF36)</f>
        <v>7.648055376</v>
      </c>
      <c r="AG37" s="732" t="s">
        <v>188</v>
      </c>
      <c r="AH37" s="291">
        <f>AVERAGE(AH3:AH36)</f>
        <v>7.805824078</v>
      </c>
      <c r="AI37" s="732" t="s">
        <v>188</v>
      </c>
      <c r="AJ37" s="291">
        <f>AVERAGE(AJ3:AJ36)</f>
        <v>8.478074866</v>
      </c>
      <c r="AK37" s="732" t="s">
        <v>188</v>
      </c>
      <c r="AL37" s="291">
        <f>AVERAGE(AL3:AL36)</f>
        <v>7.584631055</v>
      </c>
      <c r="AM37" s="732" t="s">
        <v>188</v>
      </c>
      <c r="AN37" s="291">
        <f>AVERAGE(AN3:AN36)</f>
        <v>7.680541844</v>
      </c>
      <c r="AO37" s="732" t="s">
        <v>188</v>
      </c>
      <c r="AP37" s="291">
        <f>AVERAGE(AP3:AP36)</f>
        <v>7.886944238</v>
      </c>
      <c r="AQ37" s="732" t="s">
        <v>188</v>
      </c>
      <c r="AR37" s="291">
        <f>AVERAGE(AR3:AR36)</f>
        <v>7.658868093</v>
      </c>
      <c r="AS37" s="732" t="s">
        <v>188</v>
      </c>
      <c r="AT37" s="1057">
        <f>AVERAGE(AT3:AT34)</f>
        <v>8.254375</v>
      </c>
      <c r="AU37" s="732" t="s">
        <v>188</v>
      </c>
      <c r="AV37" s="291">
        <f>AVERAGE(AV3:AV34)</f>
        <v>7.6215625</v>
      </c>
      <c r="AW37" s="732" t="s">
        <v>188</v>
      </c>
      <c r="AX37" s="291">
        <f>AVERAGE(AX3:AX34)</f>
        <v>7.7728125</v>
      </c>
      <c r="AY37" s="1067"/>
      <c r="AZ37" s="1067"/>
    </row>
    <row r="38" ht="26.25" customHeight="1">
      <c r="A38" s="1047"/>
      <c r="B38" s="1048"/>
      <c r="C38" s="1077"/>
      <c r="D38" s="1078"/>
      <c r="E38" s="69"/>
      <c r="F38" s="69"/>
      <c r="G38" s="69"/>
      <c r="H38" s="69"/>
      <c r="I38" s="69"/>
      <c r="J38" s="69"/>
      <c r="K38" s="69"/>
      <c r="L38" s="69"/>
      <c r="M38" s="69"/>
      <c r="N38" s="69"/>
      <c r="O38" s="69"/>
      <c r="P38" s="69"/>
      <c r="Q38" s="69"/>
      <c r="R38" s="69"/>
      <c r="S38" s="69"/>
      <c r="T38" s="69"/>
      <c r="U38" s="69"/>
      <c r="V38" s="69"/>
      <c r="W38" s="69"/>
      <c r="X38" s="69"/>
      <c r="Y38" s="69"/>
      <c r="Z38" s="69"/>
      <c r="AA38" s="69"/>
      <c r="AB38" s="69"/>
      <c r="AC38" s="69"/>
      <c r="AD38" s="69"/>
      <c r="AE38" s="69"/>
      <c r="AF38" s="69"/>
      <c r="AG38" s="69"/>
      <c r="AH38" s="69"/>
      <c r="AI38" s="69"/>
      <c r="AJ38" s="69"/>
      <c r="AK38" s="69"/>
      <c r="AL38" s="69"/>
      <c r="AM38" s="69"/>
      <c r="AN38" s="69"/>
      <c r="AO38" s="69"/>
      <c r="AP38" s="69"/>
      <c r="AQ38" s="69"/>
      <c r="AR38" s="69"/>
      <c r="AS38" s="69"/>
      <c r="AT38" s="69"/>
      <c r="AU38" s="69"/>
      <c r="AV38" s="69"/>
      <c r="AW38" s="69"/>
      <c r="AX38" s="69"/>
      <c r="AY38" s="1067"/>
      <c r="AZ38" s="1067"/>
    </row>
    <row r="39" ht="25.5" customHeight="1">
      <c r="A39" s="1047"/>
      <c r="B39" s="1048"/>
      <c r="C39" s="1048"/>
      <c r="D39" s="1048"/>
      <c r="E39" s="1048"/>
      <c r="F39" s="1048"/>
      <c r="G39" s="1048"/>
      <c r="H39" s="1048"/>
      <c r="I39" s="1048"/>
      <c r="J39" s="1048"/>
      <c r="K39" s="1048"/>
      <c r="L39" s="1048"/>
      <c r="M39" s="1048"/>
      <c r="N39" s="1048"/>
      <c r="O39" s="1048"/>
      <c r="P39" s="1048"/>
      <c r="Q39" s="1048"/>
      <c r="R39" s="1048"/>
      <c r="S39" s="1048"/>
      <c r="T39" s="1048"/>
      <c r="U39" s="1048"/>
      <c r="V39" s="1048"/>
      <c r="W39" s="1048"/>
      <c r="X39" s="1048"/>
      <c r="Y39" s="1048"/>
      <c r="Z39" s="1048"/>
      <c r="AA39" s="1048"/>
      <c r="AB39" s="1048"/>
      <c r="AC39" s="1048"/>
      <c r="AD39" s="1048"/>
      <c r="AE39" s="1048"/>
      <c r="AF39" s="1048"/>
      <c r="AG39" s="1048"/>
      <c r="AH39" s="1048"/>
      <c r="AI39" s="1048"/>
      <c r="AJ39" s="1048"/>
      <c r="AK39" s="1048"/>
      <c r="AL39" s="1048"/>
      <c r="AM39" s="1048"/>
      <c r="AN39" s="1048"/>
      <c r="AO39" s="1048"/>
      <c r="AP39" s="1048"/>
      <c r="AQ39" s="1048"/>
      <c r="AR39" s="1048"/>
      <c r="AS39" s="1048"/>
      <c r="AT39" s="1048"/>
      <c r="AU39" s="1048"/>
      <c r="AV39" s="1048"/>
      <c r="AW39" s="1048"/>
      <c r="AX39" s="1048"/>
      <c r="AY39" s="978"/>
      <c r="AZ39" s="978"/>
    </row>
    <row r="40">
      <c r="A40" s="1047"/>
      <c r="B40" s="300" t="s">
        <v>70</v>
      </c>
      <c r="C40" s="1039" t="s">
        <v>530</v>
      </c>
      <c r="D40" s="315"/>
      <c r="E40" s="1039" t="s">
        <v>531</v>
      </c>
      <c r="F40" s="315"/>
      <c r="G40" s="1039" t="s">
        <v>595</v>
      </c>
      <c r="H40" s="315"/>
      <c r="I40" s="1039" t="s">
        <v>596</v>
      </c>
      <c r="J40" s="315"/>
      <c r="K40" s="1039" t="s">
        <v>597</v>
      </c>
      <c r="L40" s="315"/>
      <c r="M40" s="1039" t="s">
        <v>598</v>
      </c>
      <c r="N40" s="315"/>
      <c r="O40" s="1040" t="s">
        <v>599</v>
      </c>
      <c r="P40" s="160"/>
      <c r="Q40" s="1040" t="s">
        <v>600</v>
      </c>
      <c r="R40" s="160"/>
      <c r="S40" s="1041" t="s">
        <v>601</v>
      </c>
      <c r="T40" s="161"/>
      <c r="U40" s="1042" t="s">
        <v>602</v>
      </c>
      <c r="V40" s="315"/>
      <c r="W40" s="1039" t="s">
        <v>603</v>
      </c>
      <c r="X40" s="315"/>
      <c r="Y40" s="1039" t="s">
        <v>604</v>
      </c>
      <c r="Z40" s="315"/>
      <c r="AA40" s="1039" t="s">
        <v>605</v>
      </c>
      <c r="AB40" s="315"/>
      <c r="AC40" s="1039" t="s">
        <v>606</v>
      </c>
      <c r="AD40" s="315"/>
      <c r="AE40" s="1039" t="s">
        <v>607</v>
      </c>
      <c r="AF40" s="315"/>
      <c r="AG40" s="1039" t="s">
        <v>608</v>
      </c>
      <c r="AH40" s="315"/>
      <c r="AI40" s="1039" t="s">
        <v>609</v>
      </c>
      <c r="AJ40" s="315"/>
      <c r="AK40" s="1039" t="s">
        <v>610</v>
      </c>
      <c r="AL40" s="315"/>
      <c r="AM40" s="1039" t="s">
        <v>611</v>
      </c>
      <c r="AN40" s="315"/>
      <c r="AO40" s="1039" t="s">
        <v>612</v>
      </c>
      <c r="AP40" s="315"/>
      <c r="AQ40" s="1039" t="s">
        <v>613</v>
      </c>
      <c r="AR40" s="315"/>
      <c r="AS40" s="1039" t="s">
        <v>614</v>
      </c>
      <c r="AT40" s="315"/>
      <c r="AU40" s="1039" t="s">
        <v>615</v>
      </c>
      <c r="AV40" s="315"/>
      <c r="AW40" s="1039" t="s">
        <v>616</v>
      </c>
      <c r="AX40" s="315"/>
      <c r="AY40" s="1068"/>
      <c r="AZ40" s="1068"/>
    </row>
    <row r="41">
      <c r="A41" s="1047"/>
      <c r="B41" s="567" t="s">
        <v>73</v>
      </c>
      <c r="C41" s="1045" t="s">
        <v>555</v>
      </c>
      <c r="D41" s="311"/>
      <c r="E41" s="1045" t="s">
        <v>556</v>
      </c>
      <c r="F41" s="311"/>
      <c r="G41" s="1045" t="s">
        <v>617</v>
      </c>
      <c r="H41" s="311"/>
      <c r="I41" s="1045" t="s">
        <v>618</v>
      </c>
      <c r="J41" s="311"/>
      <c r="K41" s="1045" t="s">
        <v>619</v>
      </c>
      <c r="L41" s="311"/>
      <c r="M41" s="1045" t="s">
        <v>620</v>
      </c>
      <c r="N41" s="311"/>
      <c r="O41" s="1040" t="s">
        <v>621</v>
      </c>
      <c r="P41" s="160"/>
      <c r="Q41" s="1040" t="s">
        <v>622</v>
      </c>
      <c r="R41" s="160"/>
      <c r="S41" s="1041" t="s">
        <v>623</v>
      </c>
      <c r="T41" s="161"/>
      <c r="U41" s="1046" t="s">
        <v>624</v>
      </c>
      <c r="V41" s="311"/>
      <c r="W41" s="1045" t="s">
        <v>625</v>
      </c>
      <c r="X41" s="311"/>
      <c r="Y41" s="1045" t="s">
        <v>626</v>
      </c>
      <c r="Z41" s="311"/>
      <c r="AA41" s="1045" t="s">
        <v>627</v>
      </c>
      <c r="AB41" s="311"/>
      <c r="AC41" s="1045" t="s">
        <v>628</v>
      </c>
      <c r="AD41" s="311"/>
      <c r="AE41" s="1045" t="s">
        <v>629</v>
      </c>
      <c r="AF41" s="311"/>
      <c r="AG41" s="1045" t="s">
        <v>630</v>
      </c>
      <c r="AH41" s="311"/>
      <c r="AI41" s="1045" t="s">
        <v>631</v>
      </c>
      <c r="AJ41" s="311"/>
      <c r="AK41" s="1045" t="s">
        <v>632</v>
      </c>
      <c r="AL41" s="311"/>
      <c r="AM41" s="1045" t="s">
        <v>633</v>
      </c>
      <c r="AN41" s="311"/>
      <c r="AO41" s="1045" t="s">
        <v>634</v>
      </c>
      <c r="AP41" s="311"/>
      <c r="AQ41" s="1045" t="s">
        <v>635</v>
      </c>
      <c r="AR41" s="311"/>
      <c r="AS41" s="1045" t="s">
        <v>636</v>
      </c>
      <c r="AT41" s="311"/>
      <c r="AU41" s="1045" t="s">
        <v>637</v>
      </c>
      <c r="AV41" s="311"/>
      <c r="AW41" s="1045" t="s">
        <v>638</v>
      </c>
      <c r="AX41" s="311"/>
      <c r="AY41" s="1068"/>
      <c r="AZ41" s="1068"/>
    </row>
    <row r="42">
      <c r="A42" s="1047"/>
      <c r="B42" s="1048"/>
      <c r="C42" s="1048"/>
      <c r="D42" s="1048"/>
      <c r="E42" s="1048"/>
      <c r="F42" s="1048"/>
      <c r="G42" s="1048"/>
      <c r="H42" s="1048"/>
      <c r="I42" s="1048"/>
      <c r="J42" s="1048"/>
      <c r="K42" s="1048"/>
      <c r="L42" s="1048"/>
      <c r="M42" s="1048"/>
      <c r="N42" s="1048"/>
      <c r="O42" s="1048"/>
      <c r="P42" s="1048"/>
      <c r="Q42" s="1048"/>
      <c r="R42" s="1048"/>
      <c r="S42" s="1048"/>
      <c r="T42" s="1048"/>
      <c r="U42" s="1048"/>
      <c r="V42" s="1048"/>
      <c r="W42" s="1048"/>
      <c r="X42" s="1048"/>
      <c r="Y42" s="1048"/>
      <c r="Z42" s="1048"/>
      <c r="AA42" s="1048"/>
      <c r="AB42" s="1048"/>
      <c r="AC42" s="1048"/>
      <c r="AD42" s="1048"/>
      <c r="AE42" s="1048"/>
      <c r="AF42" s="1048"/>
      <c r="AG42" s="1048"/>
      <c r="AH42" s="1048"/>
      <c r="AI42" s="1048"/>
      <c r="AJ42" s="1048"/>
      <c r="AK42" s="1048"/>
      <c r="AL42" s="1048"/>
      <c r="AM42" s="1048"/>
      <c r="AN42" s="1048"/>
      <c r="AO42" s="1048"/>
      <c r="AP42" s="1048"/>
      <c r="AQ42" s="1048"/>
      <c r="AR42" s="1048"/>
      <c r="AS42" s="1048"/>
      <c r="AT42" s="1048"/>
      <c r="AU42" s="1048"/>
      <c r="AV42" s="1048"/>
      <c r="AW42" s="1048"/>
      <c r="AX42" s="1048"/>
      <c r="AY42" s="978"/>
      <c r="AZ42" s="978"/>
    </row>
    <row r="43">
      <c r="A43" s="1047"/>
      <c r="B43" s="1048"/>
      <c r="C43" s="1048"/>
      <c r="D43" s="1048"/>
      <c r="E43" s="1048"/>
      <c r="F43" s="1048"/>
      <c r="G43" s="1048"/>
      <c r="H43" s="1048"/>
      <c r="I43" s="1048"/>
      <c r="J43" s="1048"/>
      <c r="K43" s="1048"/>
      <c r="L43" s="1048"/>
      <c r="M43" s="1048"/>
      <c r="N43" s="1048"/>
      <c r="O43" s="1048"/>
      <c r="P43" s="1048"/>
      <c r="Q43" s="1048"/>
      <c r="R43" s="1048"/>
      <c r="S43" s="1048"/>
      <c r="T43" s="1048"/>
      <c r="U43" s="1048"/>
      <c r="V43" s="1048"/>
      <c r="W43" s="1048"/>
      <c r="X43" s="1048"/>
      <c r="Y43" s="1048"/>
      <c r="Z43" s="1048"/>
      <c r="AA43" s="1048"/>
      <c r="AB43" s="1048"/>
      <c r="AC43" s="1048"/>
      <c r="AD43" s="1048"/>
      <c r="AE43" s="1048"/>
      <c r="AF43" s="1048"/>
      <c r="AG43" s="1048"/>
      <c r="AH43" s="1048"/>
      <c r="AI43" s="1048"/>
      <c r="AJ43" s="1048"/>
      <c r="AK43" s="1048"/>
      <c r="AL43" s="1048"/>
      <c r="AM43" s="1048"/>
      <c r="AN43" s="1048"/>
      <c r="AO43" s="1048"/>
      <c r="AP43" s="1048"/>
      <c r="AQ43" s="1048"/>
      <c r="AR43" s="1048"/>
      <c r="AS43" s="1048"/>
      <c r="AT43" s="1048"/>
      <c r="AU43" s="1048"/>
      <c r="AV43" s="1048"/>
      <c r="AW43" s="1048"/>
      <c r="AX43" s="1048"/>
      <c r="AY43" s="978"/>
      <c r="AZ43" s="978"/>
    </row>
  </sheetData>
  <mergeCells count="270">
    <mergeCell ref="Q26:Q31"/>
    <mergeCell ref="S26:S31"/>
    <mergeCell ref="U26:U31"/>
    <mergeCell ref="W26:W31"/>
    <mergeCell ref="Y26:Y31"/>
    <mergeCell ref="AA26:AA31"/>
    <mergeCell ref="AC26:AC31"/>
    <mergeCell ref="AS26:AS31"/>
    <mergeCell ref="AU26:AU31"/>
    <mergeCell ref="AW26:AW31"/>
    <mergeCell ref="AE26:AE31"/>
    <mergeCell ref="AG26:AG31"/>
    <mergeCell ref="AI26:AI31"/>
    <mergeCell ref="AK26:AK31"/>
    <mergeCell ref="AM26:AM31"/>
    <mergeCell ref="AO26:AO31"/>
    <mergeCell ref="AQ26:AQ31"/>
    <mergeCell ref="E21:E25"/>
    <mergeCell ref="E26:E31"/>
    <mergeCell ref="G26:G31"/>
    <mergeCell ref="I26:I31"/>
    <mergeCell ref="K26:K31"/>
    <mergeCell ref="M26:M31"/>
    <mergeCell ref="O26:O31"/>
    <mergeCell ref="O32:O36"/>
    <mergeCell ref="Q32:Q36"/>
    <mergeCell ref="S32:S36"/>
    <mergeCell ref="U32:U36"/>
    <mergeCell ref="W32:W36"/>
    <mergeCell ref="Y32:Y36"/>
    <mergeCell ref="AA32:AA36"/>
    <mergeCell ref="AQ32:AQ36"/>
    <mergeCell ref="AS32:AS36"/>
    <mergeCell ref="AU32:AU36"/>
    <mergeCell ref="AW32:AW36"/>
    <mergeCell ref="AC32:AC36"/>
    <mergeCell ref="AE32:AE36"/>
    <mergeCell ref="AG32:AG36"/>
    <mergeCell ref="AI32:AI36"/>
    <mergeCell ref="AK32:AK36"/>
    <mergeCell ref="AM32:AM36"/>
    <mergeCell ref="AO32:AO36"/>
    <mergeCell ref="AE40:AF40"/>
    <mergeCell ref="AG40:AH40"/>
    <mergeCell ref="Q40:R40"/>
    <mergeCell ref="S40:T40"/>
    <mergeCell ref="U40:V40"/>
    <mergeCell ref="W40:X40"/>
    <mergeCell ref="Y40:Z40"/>
    <mergeCell ref="AA40:AB40"/>
    <mergeCell ref="AC40:AD40"/>
    <mergeCell ref="C41:D41"/>
    <mergeCell ref="E41:F41"/>
    <mergeCell ref="G41:H41"/>
    <mergeCell ref="I41:J41"/>
    <mergeCell ref="K41:L41"/>
    <mergeCell ref="M41:N41"/>
    <mergeCell ref="O41:P41"/>
    <mergeCell ref="Q41:R41"/>
    <mergeCell ref="S41:T41"/>
    <mergeCell ref="U41:V41"/>
    <mergeCell ref="W41:X41"/>
    <mergeCell ref="Y41:Z41"/>
    <mergeCell ref="AA41:AB41"/>
    <mergeCell ref="AC41:AD41"/>
    <mergeCell ref="AS41:AT41"/>
    <mergeCell ref="AU41:AV41"/>
    <mergeCell ref="AW41:AX41"/>
    <mergeCell ref="AE41:AF41"/>
    <mergeCell ref="AG41:AH41"/>
    <mergeCell ref="AI41:AJ41"/>
    <mergeCell ref="AK41:AL41"/>
    <mergeCell ref="AM41:AN41"/>
    <mergeCell ref="AO41:AP41"/>
    <mergeCell ref="AQ41:AR41"/>
    <mergeCell ref="J37:J38"/>
    <mergeCell ref="K37:K38"/>
    <mergeCell ref="L37:L38"/>
    <mergeCell ref="M37:M38"/>
    <mergeCell ref="N37:N38"/>
    <mergeCell ref="O37:O38"/>
    <mergeCell ref="P37:P38"/>
    <mergeCell ref="Q37:Q38"/>
    <mergeCell ref="R37:R38"/>
    <mergeCell ref="S37:S38"/>
    <mergeCell ref="T37:T38"/>
    <mergeCell ref="U37:U38"/>
    <mergeCell ref="V37:V38"/>
    <mergeCell ref="W37:W38"/>
    <mergeCell ref="X37:X38"/>
    <mergeCell ref="Y37:Y38"/>
    <mergeCell ref="Z37:Z38"/>
    <mergeCell ref="AA37:AA38"/>
    <mergeCell ref="AB37:AB38"/>
    <mergeCell ref="AC37:AC38"/>
    <mergeCell ref="AD37:AD38"/>
    <mergeCell ref="AS37:AS38"/>
    <mergeCell ref="AT37:AT38"/>
    <mergeCell ref="AU37:AU38"/>
    <mergeCell ref="AV37:AV38"/>
    <mergeCell ref="AW37:AW38"/>
    <mergeCell ref="AX37:AX38"/>
    <mergeCell ref="AL37:AL38"/>
    <mergeCell ref="AM37:AM38"/>
    <mergeCell ref="AN37:AN38"/>
    <mergeCell ref="AO37:AO38"/>
    <mergeCell ref="AP37:AP38"/>
    <mergeCell ref="AQ37:AQ38"/>
    <mergeCell ref="AR37:AR38"/>
    <mergeCell ref="C40:D40"/>
    <mergeCell ref="E40:F40"/>
    <mergeCell ref="G40:H40"/>
    <mergeCell ref="I40:J40"/>
    <mergeCell ref="K40:L40"/>
    <mergeCell ref="M40:N40"/>
    <mergeCell ref="O40:P40"/>
    <mergeCell ref="AI40:AJ40"/>
    <mergeCell ref="AK40:AL40"/>
    <mergeCell ref="AM40:AN40"/>
    <mergeCell ref="AO40:AP40"/>
    <mergeCell ref="AQ40:AR40"/>
    <mergeCell ref="AS40:AT40"/>
    <mergeCell ref="AU40:AV40"/>
    <mergeCell ref="AW40:AX40"/>
    <mergeCell ref="AE37:AE38"/>
    <mergeCell ref="AF37:AF38"/>
    <mergeCell ref="AG37:AG38"/>
    <mergeCell ref="AH37:AH38"/>
    <mergeCell ref="AI37:AI38"/>
    <mergeCell ref="AJ37:AJ38"/>
    <mergeCell ref="AK37:AK38"/>
    <mergeCell ref="Q1:R1"/>
    <mergeCell ref="S1:T1"/>
    <mergeCell ref="U1:V1"/>
    <mergeCell ref="W1:X1"/>
    <mergeCell ref="Y1:Z1"/>
    <mergeCell ref="AA1:AB1"/>
    <mergeCell ref="AC1:AD1"/>
    <mergeCell ref="AS1:AT1"/>
    <mergeCell ref="AU1:AV1"/>
    <mergeCell ref="AW1:AX1"/>
    <mergeCell ref="AE1:AF1"/>
    <mergeCell ref="AG1:AH1"/>
    <mergeCell ref="AI1:AJ1"/>
    <mergeCell ref="AK1:AL1"/>
    <mergeCell ref="AM1:AN1"/>
    <mergeCell ref="AO1:AP1"/>
    <mergeCell ref="AQ1:AR1"/>
    <mergeCell ref="C1:D1"/>
    <mergeCell ref="E1:F1"/>
    <mergeCell ref="G1:H1"/>
    <mergeCell ref="I1:J1"/>
    <mergeCell ref="K1:L1"/>
    <mergeCell ref="M1:N1"/>
    <mergeCell ref="O1:P1"/>
    <mergeCell ref="O3:O6"/>
    <mergeCell ref="Q3:Q6"/>
    <mergeCell ref="S3:S6"/>
    <mergeCell ref="U3:U6"/>
    <mergeCell ref="W3:W6"/>
    <mergeCell ref="Y3:Y6"/>
    <mergeCell ref="AA3:AA6"/>
    <mergeCell ref="AQ3:AQ6"/>
    <mergeCell ref="AS3:AS6"/>
    <mergeCell ref="AU3:AU6"/>
    <mergeCell ref="AW3:AW6"/>
    <mergeCell ref="AC3:AC6"/>
    <mergeCell ref="AE3:AE6"/>
    <mergeCell ref="AG3:AG6"/>
    <mergeCell ref="AI3:AI6"/>
    <mergeCell ref="AK3:AK6"/>
    <mergeCell ref="AM3:AM6"/>
    <mergeCell ref="AO3:AO6"/>
    <mergeCell ref="AI16:AI20"/>
    <mergeCell ref="AK16:AK20"/>
    <mergeCell ref="U16:U20"/>
    <mergeCell ref="W16:W20"/>
    <mergeCell ref="Y16:Y20"/>
    <mergeCell ref="AA16:AA20"/>
    <mergeCell ref="AC16:AC20"/>
    <mergeCell ref="AE16:AE20"/>
    <mergeCell ref="AG16:AG20"/>
    <mergeCell ref="M16:M20"/>
    <mergeCell ref="M21:M25"/>
    <mergeCell ref="Q16:Q20"/>
    <mergeCell ref="Q21:Q25"/>
    <mergeCell ref="K3:K6"/>
    <mergeCell ref="K7:K15"/>
    <mergeCell ref="K16:K20"/>
    <mergeCell ref="O16:O20"/>
    <mergeCell ref="S16:S20"/>
    <mergeCell ref="K21:K25"/>
    <mergeCell ref="O21:O25"/>
    <mergeCell ref="S21:S25"/>
    <mergeCell ref="AI21:AI25"/>
    <mergeCell ref="AK21:AK25"/>
    <mergeCell ref="U21:U25"/>
    <mergeCell ref="W21:W25"/>
    <mergeCell ref="Y21:Y25"/>
    <mergeCell ref="AA21:AA25"/>
    <mergeCell ref="AC21:AC25"/>
    <mergeCell ref="AE21:AE25"/>
    <mergeCell ref="AG21:AG25"/>
    <mergeCell ref="AU16:AU20"/>
    <mergeCell ref="AU21:AU25"/>
    <mergeCell ref="AM16:AM20"/>
    <mergeCell ref="AO16:AO20"/>
    <mergeCell ref="AS16:AS20"/>
    <mergeCell ref="AW16:AW20"/>
    <mergeCell ref="AM21:AM25"/>
    <mergeCell ref="AO21:AO25"/>
    <mergeCell ref="AS21:AS25"/>
    <mergeCell ref="AW21:AW25"/>
    <mergeCell ref="C3:C6"/>
    <mergeCell ref="C7:C13"/>
    <mergeCell ref="A14:A18"/>
    <mergeCell ref="C14:C18"/>
    <mergeCell ref="A19:A21"/>
    <mergeCell ref="C19:C21"/>
    <mergeCell ref="A22:A28"/>
    <mergeCell ref="C22:C28"/>
    <mergeCell ref="A3:A6"/>
    <mergeCell ref="E3:E6"/>
    <mergeCell ref="I3:I6"/>
    <mergeCell ref="M3:M6"/>
    <mergeCell ref="A7:A13"/>
    <mergeCell ref="E7:E15"/>
    <mergeCell ref="I7:I15"/>
    <mergeCell ref="AO7:AO15"/>
    <mergeCell ref="AQ7:AQ15"/>
    <mergeCell ref="AS7:AS15"/>
    <mergeCell ref="AU7:AU15"/>
    <mergeCell ref="AW7:AW15"/>
    <mergeCell ref="AA7:AA15"/>
    <mergeCell ref="AC7:AC15"/>
    <mergeCell ref="AE7:AE15"/>
    <mergeCell ref="AG7:AG15"/>
    <mergeCell ref="AI7:AI15"/>
    <mergeCell ref="AK7:AK15"/>
    <mergeCell ref="AM7:AM15"/>
    <mergeCell ref="M7:M15"/>
    <mergeCell ref="O7:O15"/>
    <mergeCell ref="Q7:Q15"/>
    <mergeCell ref="S7:S15"/>
    <mergeCell ref="U7:U15"/>
    <mergeCell ref="W7:W15"/>
    <mergeCell ref="Y7:Y15"/>
    <mergeCell ref="AQ16:AQ20"/>
    <mergeCell ref="AQ21:AQ25"/>
    <mergeCell ref="G3:G6"/>
    <mergeCell ref="G7:G15"/>
    <mergeCell ref="E16:E20"/>
    <mergeCell ref="G16:G20"/>
    <mergeCell ref="I16:I20"/>
    <mergeCell ref="G21:G25"/>
    <mergeCell ref="I21:I25"/>
    <mergeCell ref="A29:A35"/>
    <mergeCell ref="C29:C35"/>
    <mergeCell ref="E32:E36"/>
    <mergeCell ref="G32:G36"/>
    <mergeCell ref="I32:I36"/>
    <mergeCell ref="K32:K36"/>
    <mergeCell ref="M32:M36"/>
    <mergeCell ref="C36:C37"/>
    <mergeCell ref="D36:D37"/>
    <mergeCell ref="E37:E38"/>
    <mergeCell ref="F37:F38"/>
    <mergeCell ref="G37:G38"/>
    <mergeCell ref="H37:H38"/>
    <mergeCell ref="I37:I38"/>
  </mergeCells>
  <conditionalFormatting sqref="C3:C30 D3:D38 E3:E30 F3:F38 G3:G30 H3:H38 I3:I30 J3:J38 K3:K30 L3:L38 M3:M30 N3:N38 O3:O30 P3:P38 Q3:Q30 R3:R38 S3:S30 T3:T38 U3:U30 V3:V38 W3:W30 X3:X38 Y3:Y30 Z3:Z38 AA3:AA30 AB3:AB38 AC3:AC30 AD3:AD38 AE3:AE30 AF3:AF38 AG3:AG30 AH3:AH38 AI3:AI30 AJ3:AJ38 AK3:AK30 AL3:AL38 AM3:AM30 AN3:AN38 AO3:AO30 AP3:AP38 AQ3:AQ30 AR3:AR38 AS3:AS30 AT3:AT38 AU3:AU30 AV3:AV38 AW3:AW30 AX3:AZ38 C32">
    <cfRule type="cellIs" dxfId="5" priority="1" operator="between">
      <formula>7.10001</formula>
      <formula>7.5</formula>
    </cfRule>
  </conditionalFormatting>
  <conditionalFormatting sqref="C3:C36 D3:D38 E3:E36 F3:F38 G3:G36 H3:H38 I3:I36 J3:J38 K3:K36 L3:L38 M3:M36 N3:N38 O3:O36 P3:P38 Q3:Q36 R3:R38 S3:S36 T3:T38 U3:U36 V3:V38 W3:W36 X3:X38 Y3:Y36 Z3:Z38 AA3:AA36 AB3:AB38 AC3:AC36 AD3:AD38 AE3:AE36 AF3:AF38 AG3:AG36 AH3:AH38 AI3:AI36 AJ3:AJ38 AK3:AK36 AL3:AL38 AM3:AM36 AN3:AN38 AO3:AO36 AP3:AP38 AQ3:AQ36 AR3:AR38 AS3:AS36 AT3:AT38 AU3:AU36 AV3:AV38 AW3:AW36 AX3:AZ38">
    <cfRule type="cellIs" dxfId="1" priority="2" operator="greaterThan">
      <formula>8.5</formula>
    </cfRule>
  </conditionalFormatting>
  <conditionalFormatting sqref="C3:C36 D3:D38 E3:E36 F3:F38 G3:G36 H3:H38 I3:I36 J3:J38 K3:K36 L3:L38 M3:M36 N3:N38 O3:O36 P3:P38 Q3:Q36 R3:R38 S3:S36 T3:T38 U3:U36 V3:V38 W3:W36 X3:X38 Y3:Y36 Z3:Z38 AA3:AA36 AB3:AB38 AC3:AC36 AD3:AD38 AE3:AE36 AF3:AF38 AG3:AG36 AH3:AH38 AI3:AI36 AJ3:AJ38 AK3:AK36 AL3:AL38 AM3:AM36 AN3:AN38 AO3:AO36 AP3:AP38 AQ3:AQ36 AR3:AR38 AS3:AS36 AT3:AT38 AU3:AU36 AV3:AV38 AW3:AW36 AX3:AZ38">
    <cfRule type="cellIs" dxfId="12" priority="3" operator="between">
      <formula>8.000001</formula>
      <formula>8.5</formula>
    </cfRule>
  </conditionalFormatting>
  <conditionalFormatting sqref="C3:C36 D3:D38 E3:E36 F3:F38 G3:G36 H3:H38 I3:I36 J3:J38 K3:K36 L3:L38 M3:M36 N3:N38 O3:O36 P3:P38 Q3:Q36 R3:R38 S3:S36 T3:T38 U3:U36 V3:V38 W3:W36 X3:X38 Y3:Y36 Z3:Z38 AA3:AA36 AB3:AB38 AC3:AC36 AD3:AD38 AE3:AE36 AF3:AF38 AG3:AG36 AH3:AH38 AI3:AI36 AJ3:AJ38 AK3:AK36 AL3:AL38 AM3:AM36 AN3:AN38 AO3:AO36 AP3:AP38 AQ3:AQ36 AR3:AR38 AS3:AS36 AT3:AT38 AU3:AU36 AV3:AV38 AW3:AW36 AX3:AZ38">
    <cfRule type="cellIs" dxfId="3" priority="4" operator="between">
      <formula>7.500001</formula>
      <formula>8</formula>
    </cfRule>
  </conditionalFormatting>
  <conditionalFormatting sqref="C3:C30 D3:D38 E3:E30 F3:F38 G3:G30 H3:H38 I3:I30 J3:J38 K3:K30 L3:L38 M3:M30 N3:N38 O3:O30 P3:P38 Q3:Q30 R3:R38 S3:S30 T3:T38 U3:U30 V3:V38 W3:W30 X3:X38 Y3:Y30 Z3:Z38 AA3:AA30 AB3:AB38 AC3:AC35 AD3:AD38 AE3:AE30 AF3:AF38 AG3:AG30 AH3:AH38 AI3:AI30 AJ3:AJ38 AK3:AK30 AL3:AL38 AM3:AM30 AN3:AN38 AO3:AO30 AP3:AP38 AQ3:AQ30 AR3:AR38 AS3:AS30 AT3:AT38 AU3:AU30 AV3:AV38 AW3:AW30 AX3:AZ38 C32 E32 G32 I32 K32 M32 O32 Q32 S32 U32 W32 Y32 AA32 AE32 AG32 AI32 AK32 AM32 AO32 AQ32 AS32 AU32 AW32 C34 E34 G34 I34 K34 M34 O34 Q34 S34 U34 W34 Y34 AA34 AE34 AG34 AI34 AK34 AM34 AO34 AQ34 AS34 AU34 AW34">
    <cfRule type="cellIs" dxfId="4" priority="5" operator="between">
      <formula>6.50001</formula>
      <formula>7</formula>
    </cfRule>
  </conditionalFormatting>
  <conditionalFormatting sqref="C3:C36 D3:D38 E3:E36 F3:F38 G3:G36 H3:H38 I3:I36 J3:J38 K3:K36 L3:L38 M3:M36 N3:N38 O3:O36 P3:P38 Q3:Q36 R3:R38 S3:S36 T3:T38 U3:U36 V3:V38 W3:W36 X3:X38 Y3:Y36 Z3:Z38 AA3:AA36 AB3:AB38 AC3:AC36 AD3:AD38 AE3:AE36 AF3:AF38 AG3:AG36 AH3:AH38 AI3:AI36 AJ3:AJ38 AK3:AK36 AL3:AL38 AM3:AM36 AN3:AN38 AO3:AO36 AP3:AP38 AQ3:AQ36 AR3:AR38 AS3:AS36 AT3:AT38 AU3:AU36 AV3:AV38 AW3:AW36 AX3:AZ38">
    <cfRule type="cellIs" dxfId="5" priority="6" operator="between">
      <formula>7.00001</formula>
      <formula>7.5</formula>
    </cfRule>
  </conditionalFormatting>
  <conditionalFormatting sqref="C3:C33 D3:D35 E3:E33 F3:F35 G3:G33 H3:H35 I3:I33 J3:J35 K3:K33 L3:L35 M3:M33 N3:N35 O3:O33 P3:P35 Q3:Q33 R3:R35 S3:S33 T3:T35 U3:U33 V3:V35 W3:W33 X3:X35 Y3:Y33 Z3:Z35 AA3:AA33 AB3:AF36 AG3:AG33 AH3:AH36 AI3:AI33 AJ3:AJ36 AK3:AK33 AL3:AL36 AM3:AM33 AN3:AN36 AO3:AO33 AP3:AP36 AQ3:AQ33 AR3:AR36 AS3:AS33 AT3:AT36 AU3:AU33 AV3:AV36 AW3:AW33 AX3:AZ36">
    <cfRule type="cellIs" dxfId="1" priority="7" operator="greaterThan">
      <formula>8.8</formula>
    </cfRule>
  </conditionalFormatting>
  <conditionalFormatting sqref="C3:C33 D3:D35 E3:E33 F3:F35 G3:G33 H3:H35 I3:I33 J3:J35 K3:K33 L3:L35 M3:M33 N3:N35 O3:O33 P3:P35 Q3:Q33 R3:R35 S3:S33 T3:T35 U3:U33 V3:V35 W3:W33 X3:X35 Y3:Y33 Z3:Z35 AA3:AA33 AB3:AF36 AG3:AG33 AH3:AH36 AI3:AI33 AJ3:AJ36 AK3:AK33 AL3:AL36 AM3:AM33 AN3:AN36 AO3:AO33 AP3:AP36 AQ3:AQ33 AR3:AR36 AS3:AS33 AT3:AT36 AU3:AU33 AV3:AV36 AW3:AW33 AX3:AZ36">
    <cfRule type="cellIs" dxfId="12" priority="8" operator="between">
      <formula>8.300001</formula>
      <formula>8.8</formula>
    </cfRule>
  </conditionalFormatting>
  <conditionalFormatting sqref="C3:C33 D3:D35 E3:E33 F3:F35 G3:G33 H3:H35 I3:I33 J3:J35 K3:K33 L3:L35 M3:M33 N3:N35 O3:O33 P3:P35 Q3:Q33 R3:R35 S3:S33 T3:T35 U3:U33 V3:V35 W3:W33 X3:X35 Y3:Y33 Z3:Z35 AA3:AA33 AB3:AF36 AG3:AG33 AH3:AH36 AI3:AI33 AJ3:AJ36 AK3:AK33 AL3:AL36 AM3:AM33 AN3:AN36 AO3:AO33 AP3:AP36 AQ3:AQ33 AR3:AR36 AS3:AS33 AT3:AT36 AU3:AU33 AV3:AV36 AW3:AW33 AX3:AZ36">
    <cfRule type="cellIs" dxfId="3" priority="9" operator="between">
      <formula>7.800001</formula>
      <formula>8.3</formula>
    </cfRule>
  </conditionalFormatting>
  <conditionalFormatting sqref="C3:C36 D3:D38 E3:E36 F3:F38 G3:G36 H3:H38 I3:I36 J3:J38 K3:K36 L3:L38 M3:M36 N3:N38 O3:O36 P3:P38 Q3:Q36 R3:R38 S3:S36 T3:T38 U3:U36 V3:V38 W3:W36 X3:X38 Y3:Y36 Z3:Z38 AA3:AA36 AB3:AB38 AC3:AC36 AD3:AD38 AE3:AE36 AF3:AF38 AG3:AG36 AH3:AH38 AI3:AI36 AJ3:AJ38 AK3:AK36 AL3:AL38 AM3:AM36 AN3:AN38 AO3:AO36 AP3:AP38 AQ3:AQ36 AR3:AR38 AS3:AS36 AT3:AT38 AU3:AU36 AV3:AV38 AW3:AW36 AX3:AZ38">
    <cfRule type="cellIs" dxfId="4" priority="10" operator="between">
      <formula>6.50001</formula>
      <formula>7.1</formula>
    </cfRule>
  </conditionalFormatting>
  <conditionalFormatting sqref="C3:C33 D3:D35 E3:E33 F3:F35 G3:G33 H3:H35 I3:I33 J3:J35 K3:K33 L3:L35 M3:M33 N3:N35 O3:O33 P3:P35 Q3:Q33 R3:R35 S3:S33 T3:T35 U3:U33 V3:V35 W3:W33 X3:X35 Y3:Y33 Z3:Z35 AA3:AA33 AB3:AF36 AG3:AG33 AH3:AH36 AI3:AI33 AJ3:AJ36 AK3:AK33 AL3:AL36 AM3:AM33 AN3:AN36 AO3:AO33 AP3:AP36 AQ3:AQ33 AR3:AR36 AS3:AS33 AT3:AT36 AU3:AU33 AV3:AV36 AW3:AW33 AX3:AZ36">
    <cfRule type="cellIs" dxfId="5" priority="11" operator="between">
      <formula>7.10001</formula>
      <formula>7.8</formula>
    </cfRule>
  </conditionalFormatting>
  <conditionalFormatting sqref="C3:C36 D3:D38 E3:E36 F3:F38 G3:G36 H3:H38 I3:I36 J3:J38 K3:K36 L3:L38 M3:M36 N3:N38 O3:O36 P3:P38 Q3:Q36 R3:R38 S3:S36 T3:T38 U3:U36 V3:V38 W3:W36 X3:X38 Y3:Y36 Z3:Z38 AA3:AA36 AB3:AB38 AC3:AC36 AD3:AD38 AE3:AE36 AF3:AF38 AG3:AG36 AH3:AH38 AI3:AI36 AJ3:AJ38 AK3:AK36 AL3:AL38 AM3:AM36 AN3:AN38 AO3:AO36 AP3:AP38 AQ3:AQ36 AR3:AR38 AS3:AS36 AT3:AT38 AU3:AU36 AV3:AV38 AW3:AW36 AX3:AZ38">
    <cfRule type="cellIs" dxfId="6" priority="12" operator="between">
      <formula>0</formula>
      <formula>6.5</formula>
    </cfRule>
  </conditionalFormatting>
  <conditionalFormatting sqref="C3:C33 D3:D36 E3:E33 F3:F36 G3:G33 H3:H36 I3:I33 J3:J36 K3:K33 L3:L36 M3:M33 N3:N36 O3:O33 P3:P36 Q3:Q33 R3:R36 S3:S33 T3:T36 U3:U33 V3:V36 W3:W33 X3:X36 Y3:Y33 Z3:Z36 AA3:AA33 AB3:AB36 AC3:AC33 AD3:AF36 AG3:AG33 AH3:AH36 AI3:AI33 AJ3:AJ36 AK3:AK33 AL3:AL36 AM3:AM33 AN3:AN36 AO3:AO33 AP3:AP36 AQ3:AQ33 AR3:AR36 AS3:AS33 AT3:AT36 AU3:AU33 AV3:AV36 AW3:AW33 AX3:AZ36">
    <cfRule type="cellIs" dxfId="4" priority="13" operator="between">
      <formula>6.50001</formula>
      <formula>7.2</formula>
    </cfRule>
  </conditionalFormatting>
  <conditionalFormatting sqref="C3:C33 D3:D36 E3:E33 F3:F36 G3:G33 H3:H36 I3:I33 J3:J36 K3:K33 L3:L36 M3:M33 N3:N36 O3:O33 P3:P36 Q3:Q33 R3:R36 S3:S33 T3:T36 U3:U33 V3:V36 W3:W33 X3:X36 Y3:Y33 Z3:Z36 AA3:AA33 AB3:AB36 AC3:AC33 AD3:AF36 AG3:AG33 AH3:AH36 AI3:AI33 AJ3:AJ36 AK3:AK33 AL3:AL36 AM3:AM33 AN3:AN36 AO3:AO33 AP3:AP36 AQ3:AQ33 AR3:AR36 AS3:AS33 AT3:AT36 AU3:AU33 AV3:AV36 AW3:AW33 AX3:AZ36">
    <cfRule type="cellIs" dxfId="5" priority="14" operator="between">
      <formula>7.20001</formula>
      <formula>8</formula>
    </cfRule>
  </conditionalFormatting>
  <conditionalFormatting sqref="C3:C33 D3:D36 E3:E33 F3:F36 G3:G33 H3:H36 I3:I33 J3:J36 K3:K33 L3:L36 M3:M33 N3:N36 O3:O33 P3:P36 Q3:Q33 R3:R36 S3:S33 T3:T36 U3:U33 V3:V36 W3:W33 X3:X36 Y3:Y33 Z3:Z36 AA3:AA33 AB3:AB36 AC3:AC33 AD3:AF36 AG3:AG33 AH3:AH36 AI3:AI33 AJ3:AJ36 AK3:AK33 AL3:AL36 AM3:AM33 AN3:AN36 AO3:AO33 AP3:AP36 AQ3:AQ33 AR3:AR36 AS3:AS33 AT3:AT36 AU3:AU33 AV3:AV36 AW3:AW33 AX3:AZ36">
    <cfRule type="cellIs" dxfId="3" priority="15" operator="between">
      <formula>8.0001</formula>
      <formula>8.5</formula>
    </cfRule>
  </conditionalFormatting>
  <conditionalFormatting sqref="C3:C33 D3:D36 E3:E33 F3:F36 G3:G33 H3:H36 I3:I33 J3:J36 K3:K33 L3:L36 M3:M33 N3:N36 O3:O33 P3:P36 Q3:Q33 R3:R36 S3:S33 T3:T36 U3:U33 V3:V36 W3:W33 X3:X36 Y3:Y33 Z3:Z36 AA3:AA33 AB3:AB36 AC3:AC33 AD3:AF36 AG3:AG33 AH3:AH36 AI3:AI33 AJ3:AJ36 AK3:AK33 AL3:AL36 AM3:AM33 AN3:AN36 AO3:AO33 AP3:AP36 AQ3:AQ33 AR3:AR36 AS3:AS33 AT3:AT36 AU3:AU33 AV3:AV36 AW3:AW33 AX3:AZ36">
    <cfRule type="cellIs" dxfId="12" priority="16" operator="between">
      <formula>8.50001</formula>
      <formula>9</formula>
    </cfRule>
  </conditionalFormatting>
  <conditionalFormatting sqref="C3:C33 D3:D36 E3:E33 F3:F36 G3:G33 H3:H36 I3:I33 J3:J36 K3:K33 L3:L36 M3:M33 N3:N36 O3:O33 P3:P36 Q3:Q33 R3:R36 S3:S33 T3:T36 U3:U33 V3:V36 W3:W33 X3:X36 Y3:Y33 Z3:Z36 AA3:AA33 AB3:AB36 AC3:AC33 AD3:AF36 AG3:AG33 AH3:AH36 AI3:AI33 AJ3:AJ36 AK3:AK33 AL3:AL36 AM3:AM33 AN3:AN36 AO3:AO33 AP3:AP36 AQ3:AQ33 AR3:AR36 AS3:AS33 AT3:AT36 AU3:AU33 AV3:AV36 AW3:AW33 AX3:AZ36">
    <cfRule type="cellIs" dxfId="1" priority="17" operator="greaterThan">
      <formula>9</formula>
    </cfRule>
  </conditionalFormatting>
  <drawing r:id="rId1"/>
</worksheet>
</file>